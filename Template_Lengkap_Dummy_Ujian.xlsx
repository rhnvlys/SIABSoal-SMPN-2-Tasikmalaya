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RANDA" sheetId="1" r:id="rId4"/>
    <sheet name="IDENTITAS" sheetId="2" r:id="rId5"/>
    <sheet name="DATA_KELAS" sheetId="3" r:id="rId6"/>
    <sheet name="DATA_SISWA" sheetId="4" r:id="rId7"/>
    <sheet name="TP_LM_KKTP" sheetId="5" r:id="rId8"/>
    <sheet name="DAFTAR_HADIR" sheetId="6" r:id="rId9"/>
    <sheet name="KUNCI_JAWABAN" sheetId="7" r:id="rId10"/>
    <sheet name="INPUT_JAWABAN_ABCD" sheetId="8" r:id="rId11"/>
    <sheet name="INPUT_SKOR_01" sheetId="9" r:id="rId12"/>
    <sheet name="HASIL_T1" sheetId="10" r:id="rId13"/>
    <sheet name="OLAH_T2" sheetId="11" r:id="rId14"/>
    <sheet name="ANALISIS_T3" sheetId="12" r:id="rId15"/>
    <sheet name="DAFTAR_NILAI_T4" sheetId="13" r:id="rId16"/>
    <sheet name="REKAP_NILAI_T5" sheetId="14" r:id="rId17"/>
    <sheet name="DATA_IMPORT_SYSTEM" sheetId="15" r:id="rId18"/>
    <sheet name="REFERENSI" sheetId="16" r:id="rId19"/>
  </sheets>
  <definedNames>
    <definedName name="_xlnm.Print_Area" localSheetId="1">'IDENTITAS'!$A$1:$E$25</definedName>
    <definedName name="_xlnm.Print_Area" localSheetId="2">'DATA_KELAS'!$A$1:$E$12</definedName>
    <definedName name="_xlnm.Print_Area" localSheetId="3">'DATA_SISWA'!$A$1:$G$14</definedName>
    <definedName name="_xlnm.Print_Area" localSheetId="5">'DAFTAR_HADIR'!$A$1:$H$17</definedName>
    <definedName name="_xlnm.Print_Area" localSheetId="6">'KUNCI_JAWABAN'!$A$1:$E$27</definedName>
    <definedName name="_xlnm.Print_Area" localSheetId="7">'INPUT_JAWABAN_ABCD'!$A$1:$AB$16</definedName>
    <definedName name="_xlnm.Print_Area" localSheetId="8">'INPUT_SKOR_01'!$A$1:$AC$16</definedName>
    <definedName name="_xlnm.Print_Area" localSheetId="11">'ANALISIS_T3'!$A$1:$K$35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<sst xmlns="http://schemas.openxmlformats.org/spreadsheetml/2006/main" uniqueCount="276">
  <si>
    <t>📊  Template Administrasi Penilaian SIABSoal</t>
  </si>
  <si>
    <t>Sistem Informasi Analisis Butir Soal Berbasis Web — SMP Negeri 2 Tasikmalaya</t>
  </si>
  <si>
    <t>📋 Informasi Template</t>
  </si>
  <si>
    <t>Nama Sistem</t>
  </si>
  <si>
    <t>SIABSoal SMPN 2 Tasikmalaya</t>
  </si>
  <si>
    <t>Nama Lengkap</t>
  </si>
  <si>
    <t>Sistem Informasi Analisis Butir Soal Berbasis Web</t>
  </si>
  <si>
    <t>Ujian</t>
  </si>
  <si>
    <t>UH 1 Matematika Kelas IX A</t>
  </si>
  <si>
    <t>Guru Pengampu</t>
  </si>
  <si>
    <t>Siti Nurhaliza, S.Pd.</t>
  </si>
  <si>
    <t>Kelas</t>
  </si>
  <si>
    <t>IX A</t>
  </si>
  <si>
    <t>Tahun Ajaran</t>
  </si>
  <si>
    <t>2025/2026</t>
  </si>
  <si>
    <t>KKTP/KKM</t>
  </si>
  <si>
    <t>📝 Langkah Penggunaan</t>
  </si>
  <si>
    <t>①</t>
  </si>
  <si>
    <t>Lengkapi IDENTITAS, DATA_SISWA, dan TP_LM_KKTP sesuai kebutuhan.</t>
  </si>
  <si>
    <t>②</t>
  </si>
  <si>
    <t>Isi KUNCI_JAWABAN lalu pilih: INPUT_JAWABAN_ABCD atau INPUT_SKOR_01.</t>
  </si>
  <si>
    <t>③</t>
  </si>
  <si>
    <t>Periksa HASIL_T1, OLAH_T2, ANALISIS_T3, DAFTAR_NILAI_T4, REKAP_NILAI_T5.</t>
  </si>
  <si>
    <t>④</t>
  </si>
  <si>
    <t>Upload file ini via menu Template Excel di SIABSoal. Sistem menghitung ulang.</t>
  </si>
  <si>
    <t>🗂️  Menu Navigasi Cepat Workbook</t>
  </si>
  <si>
    <t>📄 Identitas Ujian
IDENTITAS</t>
  </si>
  <si>
    <t>🏫 Data Kelas
DATA_KELAS</t>
  </si>
  <si>
    <t>👥 Data Siswa
DATA_SISWA</t>
  </si>
  <si>
    <t>🔑 Kunci Jawaban
KUNCI_JAWABAN</t>
  </si>
  <si>
    <t>✏️ Input ABCD
INPUT_JAWABAN_ABCD</t>
  </si>
  <si>
    <t>🔢 Input Skor 0/1
INPUT_SKOR_01</t>
  </si>
  <si>
    <t>📊 Hasil T1
HASIL_T1</t>
  </si>
  <si>
    <t>📈 Analisis T3
ANALISIS_T3</t>
  </si>
  <si>
    <t>📋 Rekap T5
REKAP_NILAI_T5</t>
  </si>
  <si>
    <t>📄  IDENTITAS UJIAN &amp; ADMINISTRASI GURU</t>
  </si>
  <si>
    <t>Nama Sekolah</t>
  </si>
  <si>
    <t>SMP Negeri 2 Tasikmalaya</t>
  </si>
  <si>
    <t>SIABSoal</t>
  </si>
  <si>
    <t>Nama Guru</t>
  </si>
  <si>
    <t>Mata Pelajaran</t>
  </si>
  <si>
    <t>Matematika</t>
  </si>
  <si>
    <t>Semester</t>
  </si>
  <si>
    <t>Ganjil</t>
  </si>
  <si>
    <t>Jenis Penilaian</t>
  </si>
  <si>
    <t>Ulangan Harian</t>
  </si>
  <si>
    <t>Tanggal Penilaian</t>
  </si>
  <si>
    <t>15/09/2025</t>
  </si>
  <si>
    <t>Jumlah Soal</t>
  </si>
  <si>
    <t>Lingkup Materi</t>
  </si>
  <si>
    <t>Bilangan, aljabar, geometri, dan pengolahan data.</t>
  </si>
  <si>
    <t>Tujuan Pembelajaran</t>
  </si>
  <si>
    <t>Peserta didik mampu menyelesaikan soal matematika sesuai materi yang diujikan.</t>
  </si>
  <si>
    <t>Keterangan</t>
  </si>
  <si>
    <t>📝  TABEL TUJUAN PEMBELAJARAN (TP)</t>
  </si>
  <si>
    <t>Kode TP</t>
  </si>
  <si>
    <t>KKTP</t>
  </si>
  <si>
    <t>Nomor Soal Terkait</t>
  </si>
  <si>
    <t>TP 1</t>
  </si>
  <si>
    <t>1-5</t>
  </si>
  <si>
    <t>TP 2</t>
  </si>
  <si>
    <t>6-10</t>
  </si>
  <si>
    <t>TP 3</t>
  </si>
  <si>
    <t>11-15</t>
  </si>
  <si>
    <t>TP 4</t>
  </si>
  <si>
    <t>16-20</t>
  </si>
  <si>
    <t>🏫  DATA KELAS</t>
  </si>
  <si>
    <t>kode_kelas</t>
  </si>
  <si>
    <t>nama_kelas</t>
  </si>
  <si>
    <t>tingkat</t>
  </si>
  <si>
    <t>tahun_ajaran</t>
  </si>
  <si>
    <t>wali_kelas</t>
  </si>
  <si>
    <t>KLS-01</t>
  </si>
  <si>
    <t>IX</t>
  </si>
  <si>
    <t>KLS-02</t>
  </si>
  <si>
    <t>KLS-03</t>
  </si>
  <si>
    <t>KLS-04</t>
  </si>
  <si>
    <t>KLS-05</t>
  </si>
  <si>
    <t>👥  DATA SISWA</t>
  </si>
  <si>
    <t>no</t>
  </si>
  <si>
    <t>nis</t>
  </si>
  <si>
    <t>nisn</t>
  </si>
  <si>
    <t>nama_siswa</t>
  </si>
  <si>
    <t>jenis_kelamin</t>
  </si>
  <si>
    <t>kelas</t>
  </si>
  <si>
    <t>status_siswa</t>
  </si>
  <si>
    <t>0051234001</t>
  </si>
  <si>
    <t>Adinda Putri Rahayu</t>
  </si>
  <si>
    <t>P</t>
  </si>
  <si>
    <t>aktif</t>
  </si>
  <si>
    <t>0051234002</t>
  </si>
  <si>
    <t>Bagus Prasetyo</t>
  </si>
  <si>
    <t>L</t>
  </si>
  <si>
    <t>0051234003</t>
  </si>
  <si>
    <t>Citra Dewi Lestari</t>
  </si>
  <si>
    <t>0051234004</t>
  </si>
  <si>
    <t>Daffa Rahadian</t>
  </si>
  <si>
    <t>0051234005</t>
  </si>
  <si>
    <t>Eka Safitri</t>
  </si>
  <si>
    <t>0051234006</t>
  </si>
  <si>
    <t>Fajar Maulana</t>
  </si>
  <si>
    <t>0051234007</t>
  </si>
  <si>
    <t>Gita Pramesti</t>
  </si>
  <si>
    <t>0051234008</t>
  </si>
  <si>
    <t>Hendra Wijaya</t>
  </si>
  <si>
    <t>0051234009</t>
  </si>
  <si>
    <t>Indah Permatasari</t>
  </si>
  <si>
    <t>0051234010</t>
  </si>
  <si>
    <t>Joko Susanto</t>
  </si>
  <si>
    <t>🎯  TUJUAN PEMBELAJARAN, LINGKUP MATERI, DAN KKTP</t>
  </si>
  <si>
    <t>kode_tp</t>
  </si>
  <si>
    <t>tujuan_pembelajaran</t>
  </si>
  <si>
    <t>lingkup_materi</t>
  </si>
  <si>
    <t>kktp</t>
  </si>
  <si>
    <t>nomor_soal_terkait</t>
  </si>
  <si>
    <t>📋  DAFTAR HADIR SISWA</t>
  </si>
  <si>
    <t>Mata Pelajaran:</t>
  </si>
  <si>
    <t>Kelas:</t>
  </si>
  <si>
    <t>Nama Guru:</t>
  </si>
  <si>
    <t>Jenis Penilaian:</t>
  </si>
  <si>
    <t>No</t>
  </si>
  <si>
    <t>NIS</t>
  </si>
  <si>
    <t>NISN</t>
  </si>
  <si>
    <t>Nama Murid</t>
  </si>
  <si>
    <t>L/P</t>
  </si>
  <si>
    <t>Status Kehadiran</t>
  </si>
  <si>
    <t>Catatan</t>
  </si>
  <si>
    <t>hadir</t>
  </si>
  <si>
    <t>🔑  KUNCI JAWABAN UJIAN</t>
  </si>
  <si>
    <t>Nama Ujian:</t>
  </si>
  <si>
    <t>KKTP/KKM:</t>
  </si>
  <si>
    <t>nomor_soal</t>
  </si>
  <si>
    <t>kunci_jawaban</t>
  </si>
  <si>
    <t>bobot</t>
  </si>
  <si>
    <t>A</t>
  </si>
  <si>
    <t>C</t>
  </si>
  <si>
    <t>B</t>
  </si>
  <si>
    <t>D</t>
  </si>
  <si>
    <t>✏️  INPUT JAWABAN SISWA (PILIHAN GANDA A/B/C/D/E)</t>
  </si>
  <si>
    <t>Jumlah Soal:</t>
  </si>
  <si>
    <t>status_kehadiran</t>
  </si>
  <si>
    <t>soal_1</t>
  </si>
  <si>
    <t>soal_2</t>
  </si>
  <si>
    <t>soal_3</t>
  </si>
  <si>
    <t>soal_4</t>
  </si>
  <si>
    <t>soal_5</t>
  </si>
  <si>
    <t>soal_6</t>
  </si>
  <si>
    <t>soal_7</t>
  </si>
  <si>
    <t>soal_8</t>
  </si>
  <si>
    <t>soal_9</t>
  </si>
  <si>
    <t>soal_10</t>
  </si>
  <si>
    <t>soal_11</t>
  </si>
  <si>
    <t>soal_12</t>
  </si>
  <si>
    <t>soal_13</t>
  </si>
  <si>
    <t>soal_14</t>
  </si>
  <si>
    <t>soal_15</t>
  </si>
  <si>
    <t>soal_16</t>
  </si>
  <si>
    <t>soal_17</t>
  </si>
  <si>
    <t>soal_18</t>
  </si>
  <si>
    <t>soal_19</t>
  </si>
  <si>
    <t>soal_20</t>
  </si>
  <si>
    <t>jumlah_terisi</t>
  </si>
  <si>
    <t>catatan_validasi</t>
  </si>
  <si>
    <t>🔢  INPUT SKOR SISWA (BINER 0/1)</t>
  </si>
  <si>
    <t>skor_1</t>
  </si>
  <si>
    <t>skor_2</t>
  </si>
  <si>
    <t>skor_3</t>
  </si>
  <si>
    <t>skor_4</t>
  </si>
  <si>
    <t>skor_5</t>
  </si>
  <si>
    <t>skor_6</t>
  </si>
  <si>
    <t>skor_7</t>
  </si>
  <si>
    <t>skor_8</t>
  </si>
  <si>
    <t>skor_9</t>
  </si>
  <si>
    <t>skor_10</t>
  </si>
  <si>
    <t>skor_11</t>
  </si>
  <si>
    <t>skor_12</t>
  </si>
  <si>
    <t>skor_13</t>
  </si>
  <si>
    <t>skor_14</t>
  </si>
  <si>
    <t>skor_15</t>
  </si>
  <si>
    <t>skor_16</t>
  </si>
  <si>
    <t>skor_17</t>
  </si>
  <si>
    <t>skor_18</t>
  </si>
  <si>
    <t>skor_19</t>
  </si>
  <si>
    <t>skor_20</t>
  </si>
  <si>
    <t>jumlah_benar</t>
  </si>
  <si>
    <t>nilai</t>
  </si>
  <si>
    <t>keterangan</t>
  </si>
  <si>
    <t>📊  HASIL T1 — KONVERSI JAWABAN MENJADI SKOR 0/1</t>
  </si>
  <si>
    <t>jumlah_salah</t>
  </si>
  <si>
    <t>🔄  OLAH T2 — RANKING DAN KELOMPOK SISWA</t>
  </si>
  <si>
    <t>ranking</t>
  </si>
  <si>
    <t>kelompok</t>
  </si>
  <si>
    <t>📈  ANALISIS BUTIR SOAL (TINGKAT KESUKARAN &amp; DAYA PEMBEDA)</t>
  </si>
  <si>
    <t>No Soal</t>
  </si>
  <si>
    <t>BA</t>
  </si>
  <si>
    <t>BB</t>
  </si>
  <si>
    <t>JA</t>
  </si>
  <si>
    <t>JB</t>
  </si>
  <si>
    <t>DP</t>
  </si>
  <si>
    <t>Kategori DP</t>
  </si>
  <si>
    <t>TK</t>
  </si>
  <si>
    <t>Kategori TK</t>
  </si>
  <si>
    <t>Keputusan</t>
  </si>
  <si>
    <t>Buang</t>
  </si>
  <si>
    <t>Mudah</t>
  </si>
  <si>
    <t>Baik</t>
  </si>
  <si>
    <t>Dipakai dengan catatan</t>
  </si>
  <si>
    <t>Sedang</t>
  </si>
  <si>
    <t>Dipakai</t>
  </si>
  <si>
    <t>📊
RINGKASAN
HASIL
BUTIR SOAL</t>
  </si>
  <si>
    <t>✅ Soal Baik / Diterima</t>
  </si>
  <si>
    <t>⚡ Soal Perlu Revisi</t>
  </si>
  <si>
    <t>❌ Soal Dibuang</t>
  </si>
  <si>
    <t>🟢 Total Soal Mudah</t>
  </si>
  <si>
    <t>🟡 Total Soal Sedang</t>
  </si>
  <si>
    <t>🔴 Total Soal Sukar</t>
  </si>
  <si>
    <t>📝  DAFTAR NILAI EVALUASI BELAJAR</t>
  </si>
  <si>
    <t>SMP NEGERI 2 TASIKMALAYA</t>
  </si>
  <si>
    <t>Semester:</t>
  </si>
  <si>
    <t>Tahun Ajaran:</t>
  </si>
  <si>
    <t>Tanggal Cetak:</t>
  </si>
  <si>
    <t>26/06/2026 07:30</t>
  </si>
  <si>
    <t>Jumlah Benar</t>
  </si>
  <si>
    <t>Jumlah Salah</t>
  </si>
  <si>
    <t>Nilai</t>
  </si>
  <si>
    <t>STATISTIK HASIL EVALUASI</t>
  </si>
  <si>
    <t>Jumlah Siswa</t>
  </si>
  <si>
    <t>Siswa Hadir</t>
  </si>
  <si>
    <t>Siswa Tidak Hadir</t>
  </si>
  <si>
    <t>Nilai Tertinggi</t>
  </si>
  <si>
    <t>Nilai Terendah</t>
  </si>
  <si>
    <t>Rata-rata Kelas</t>
  </si>
  <si>
    <t>Ketuntasan (Tercapai)</t>
  </si>
  <si>
    <t>Perlu Peningkatan</t>
  </si>
  <si>
    <t>📋  REKAPITULASI ADMINISTRASI PENILAIAN GURU</t>
  </si>
  <si>
    <t>SMP NEGERI 2 TASIKMALAYA - SIABSoal</t>
  </si>
  <si>
    <t>IDENTITAS UJIAN</t>
  </si>
  <si>
    <t>Nama Ujian</t>
  </si>
  <si>
    <t>REKAP KEHADIRAN</t>
  </si>
  <si>
    <t>Hadir</t>
  </si>
  <si>
    <t>Tidak Hadir</t>
  </si>
  <si>
    <t>STATISTIK PENILAIAN</t>
  </si>
  <si>
    <t>Siswa Tuntas (&gt;= KKTP)</t>
  </si>
  <si>
    <t>Belum Tuntas (&lt; KKTP)</t>
  </si>
  <si>
    <t>REKAP KUALITAS SOAL</t>
  </si>
  <si>
    <t>Soal Baik / Diterima</t>
  </si>
  <si>
    <t>Soal Perlu Revisi</t>
  </si>
  <si>
    <t>Soal Dibuang</t>
  </si>
  <si>
    <t>Kategori Mudah</t>
  </si>
  <si>
    <t>Kategori Sedang</t>
  </si>
  <si>
    <t>Kategori Sukar</t>
  </si>
  <si>
    <t>KESIMPULAN EVALUASI GURU</t>
  </si>
  <si>
    <t>📚  REFERENSI DROPDOWN DAN KATEGORI</t>
  </si>
  <si>
    <t>role</t>
  </si>
  <si>
    <t>Admin</t>
  </si>
  <si>
    <t>Guru</t>
  </si>
  <si>
    <t>Kepala Sekolah</t>
  </si>
  <si>
    <t>jenis_penilaian</t>
  </si>
  <si>
    <t>Penilaian Harian</t>
  </si>
  <si>
    <t>STS</t>
  </si>
  <si>
    <t>SAS</t>
  </si>
  <si>
    <t>PAS</t>
  </si>
  <si>
    <t>PAT</t>
  </si>
  <si>
    <t>Asesmen Sumatif</t>
  </si>
  <si>
    <t>Latihan</t>
  </si>
  <si>
    <t>tidak_hadir</t>
  </si>
  <si>
    <t>izin</t>
  </si>
  <si>
    <t>sakit</t>
  </si>
  <si>
    <t>alfa</t>
  </si>
  <si>
    <t>pilihan_jawaban</t>
  </si>
  <si>
    <t>E</t>
  </si>
  <si>
    <t>pilihan_skor</t>
  </si>
  <si>
    <t>kategori_dp</t>
  </si>
  <si>
    <t>Revisi</t>
  </si>
  <si>
    <t>kategori_tk</t>
  </si>
  <si>
    <t>Sukar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</si>
</sst>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616161"/>
      <name val="Calibri"/>
    </font>
    <font>
      <b val="1"/>
      <i val="0"/>
      <strike val="0"/>
      <u val="none"/>
      <sz val="12"/>
      <color rgb="FF1B365D"/>
      <name val="Calibri"/>
    </font>
    <font>
      <b val="1"/>
      <i val="0"/>
      <strike val="0"/>
      <u val="none"/>
      <sz val="10"/>
      <color rgb="FF1B365D"/>
      <name val="Calibri"/>
    </font>
    <font>
      <b val="1"/>
      <i val="0"/>
      <strike val="0"/>
      <u val="none"/>
      <sz val="14"/>
      <color rgb="FF1B365D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1B365D"/>
      <name val="Calibri"/>
    </font>
    <font>
      <b val="1"/>
      <i val="0"/>
      <strike val="0"/>
      <u val="none"/>
      <sz val="11"/>
      <color rgb="FF2E7D32"/>
      <name val="Calibri"/>
    </font>
    <font>
      <b val="1"/>
      <i val="0"/>
      <strike val="0"/>
      <u val="none"/>
      <sz val="11"/>
      <color rgb="FFC62828"/>
      <name val="Calibri"/>
    </font>
    <font>
      <b val="1"/>
      <i val="0"/>
      <strike val="0"/>
      <u val="none"/>
      <sz val="11"/>
      <color rgb="FF7F6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1B365D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B365D"/>
        <bgColor rgb="FF000000"/>
      </patternFill>
    </fill>
    <fill>
      <patternFill patternType="solid">
        <fgColor rgb="FFF0F7FF"/>
        <bgColor rgb="FF000000"/>
      </patternFill>
    </fill>
    <fill>
      <patternFill patternType="solid">
        <fgColor rgb="FFDDEBFA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8FBFE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4CAF5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9C27B0"/>
        <bgColor rgb="FF000000"/>
      </patternFill>
    </fill>
    <fill>
      <patternFill patternType="solid">
        <fgColor rgb="FFF44336"/>
        <bgColor rgb="FF000000"/>
      </patternFill>
    </fill>
    <fill>
      <patternFill patternType="solid">
        <fgColor rgb="FF3F51B5"/>
        <bgColor rgb="FF000000"/>
      </patternFill>
    </fill>
    <fill>
      <patternFill patternType="solid">
        <fgColor rgb="FFFFFDE7"/>
        <bgColor rgb="FF000000"/>
      </patternFill>
    </fill>
    <fill>
      <patternFill patternType="solid">
        <fgColor rgb="FFE8F1F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FEBEE"/>
        <bgColor rgb="FF000000"/>
      </patternFill>
    </fill>
    <fill>
      <patternFill patternType="solid">
        <fgColor rgb="FFFFF8E1"/>
        <bgColor rgb="FF000000"/>
      </patternFill>
    </fill>
  </fills>
  <borders count="21">
    <border>
      <left/>
      <right/>
      <top/>
      <bottom/>
      <diagonal/>
    </border>
    <border>
      <left style="medium">
        <color rgb="FF1B365D"/>
      </left>
      <right/>
      <top style="medium">
        <color rgb="FF1B365D"/>
      </top>
      <bottom style="medium">
        <color rgb="FF1B365D"/>
      </bottom>
      <diagonal/>
    </border>
    <border>
      <left/>
      <right/>
      <top style="medium">
        <color rgb="FF1B365D"/>
      </top>
      <bottom style="medium">
        <color rgb="FF1B365D"/>
      </bottom>
      <diagonal/>
    </border>
    <border>
      <left/>
      <right style="medium">
        <color rgb="FF1B365D"/>
      </right>
      <top style="medium">
        <color rgb="FF1B365D"/>
      </top>
      <bottom style="medium">
        <color rgb="FF1B365D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142847"/>
      </left>
      <right style="thin">
        <color rgb="FF142847"/>
      </right>
      <top style="thin">
        <color rgb="FF142847"/>
      </top>
      <bottom style="thin">
        <color rgb="FF142847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FFD54F"/>
      </left>
      <right style="thin">
        <color rgb="FFFFD54F"/>
      </right>
      <top style="thin">
        <color rgb="FFFFD54F"/>
      </top>
      <bottom style="thin">
        <color rgb="FFFFD54F"/>
      </bottom>
      <diagonal/>
    </border>
    <border>
      <left style="medium">
        <color rgb="FF1B365D"/>
      </left>
      <right/>
      <top style="medium">
        <color rgb="FF1B365D"/>
      </top>
      <bottom/>
      <diagonal/>
    </border>
    <border>
      <left style="medium">
        <color rgb="FF1B365D"/>
      </left>
      <right/>
      <top/>
      <bottom/>
      <diagonal/>
    </border>
    <border>
      <left style="medium">
        <color rgb="FF1B365D"/>
      </left>
      <right/>
      <top/>
      <bottom style="medium">
        <color rgb="FF1B365D"/>
      </bottom>
      <diagonal/>
    </border>
    <border>
      <left/>
      <right/>
      <top style="medium">
        <color rgb="FF1B365D"/>
      </top>
      <bottom/>
      <diagonal/>
    </border>
    <border>
      <left/>
      <right/>
      <top/>
      <bottom style="medium">
        <color rgb="FF1B365D"/>
      </bottom>
      <diagonal/>
    </border>
    <border>
      <left/>
      <right style="medium">
        <color rgb="FF1B365D"/>
      </right>
      <top style="medium">
        <color rgb="FF1B365D"/>
      </top>
      <bottom/>
      <diagonal/>
    </border>
    <border>
      <left/>
      <right style="medium">
        <color rgb="FF1B365D"/>
      </right>
      <top/>
      <bottom/>
      <diagonal/>
    </border>
    <border>
      <left/>
      <right style="medium">
        <color rgb="FF1B365D"/>
      </right>
      <top/>
      <bottom style="medium">
        <color rgb="FF1B365D"/>
      </bottom>
      <diagonal/>
    </border>
  </borders>
  <cellStyleXfs count="1">
    <xf numFmtId="0" fontId="0" fillId="0" borderId="0"/>
  </cellStyleXfs>
  <cellXfs count="8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1">
      <alignment horizontal="center" vertical="center" textRotation="0" wrapText="false" shrinkToFit="false"/>
    </xf>
    <xf xfId="0" fontId="3" numFmtId="0" fillId="4" borderId="3" applyFont="1" applyNumberFormat="0" applyFill="1" applyBorder="1" applyAlignment="1">
      <alignment horizontal="center" vertical="center" textRotation="0" wrapText="false" shrinkToFit="false"/>
    </xf>
    <xf xfId="0" fontId="4" numFmtId="0" fillId="5" borderId="0" applyFont="1" applyNumberFormat="0" applyFill="1" applyBorder="0" applyAlignment="0"/>
    <xf xfId="0" fontId="4" numFmtId="0" fillId="5" borderId="4" applyFont="1" applyNumberFormat="0" applyFill="1" applyBorder="1" applyAlignment="0"/>
    <xf xfId="0" fontId="0" numFmtId="0" fillId="0" borderId="4" applyFont="0" applyNumberFormat="0" applyFill="0" applyBorder="1" applyAlignment="1">
      <alignment vertical="bottom" textRotation="0" wrapText="true" shrinkToFit="false"/>
    </xf>
    <xf xfId="0" fontId="0" numFmtId="0" fillId="0" borderId="4" applyFont="0" applyNumberFormat="0" applyFill="0" applyBorder="1" applyAlignment="0"/>
    <xf xfId="0" fontId="4" numFmtId="0" fillId="6" borderId="4" applyFont="1" applyNumberFormat="0" applyFill="1" applyBorder="1" applyAlignment="0"/>
    <xf xfId="0" fontId="0" numFmtId="0" fillId="6" borderId="4" applyFont="0" applyNumberFormat="0" applyFill="1" applyBorder="1" applyAlignment="1">
      <alignment vertical="bottom" textRotation="0" wrapText="true" shrinkToFit="false"/>
    </xf>
    <xf xfId="0" fontId="0" numFmtId="0" fillId="6" borderId="4" applyFont="0" applyNumberFormat="0" applyFill="1" applyBorder="1" applyAlignment="0"/>
    <xf xfId="0" fontId="5" numFmtId="0" fillId="0" borderId="4" applyFont="1" applyNumberFormat="0" applyFill="0" applyBorder="1" applyAlignment="1">
      <alignment horizontal="center" vertical="center" textRotation="0" wrapText="false" shrinkToFit="false"/>
    </xf>
    <xf xfId="0" fontId="5" numFmtId="0" fillId="6" borderId="4" applyFont="1" applyNumberFormat="0" applyFill="1" applyBorder="1" applyAlignment="1">
      <alignment horizontal="center" vertical="center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7" borderId="6" applyFont="1" applyNumberFormat="0" applyFill="1" applyBorder="1" applyAlignment="1">
      <alignment horizontal="center" vertical="center" textRotation="0" wrapText="true" shrinkToFit="false"/>
    </xf>
    <xf xfId="0" fontId="7" numFmtId="0" fillId="7" borderId="7" applyFont="1" applyNumberFormat="0" applyFill="1" applyBorder="1" applyAlignment="1">
      <alignment horizontal="center" vertical="center" textRotation="0" wrapText="true" shrinkToFit="false"/>
    </xf>
    <xf xfId="0" fontId="7" numFmtId="0" fillId="7" borderId="8" applyFont="1" applyNumberFormat="0" applyFill="1" applyBorder="1" applyAlignment="1">
      <alignment horizontal="center" vertical="center" textRotation="0" wrapText="true" shrinkToFit="false"/>
    </xf>
    <xf xfId="0" fontId="7" numFmtId="0" fillId="7" borderId="9" applyFont="1" applyNumberFormat="0" applyFill="1" applyBorder="1" applyAlignment="1">
      <alignment horizontal="center" vertical="center" textRotation="0" wrapText="true" shrinkToFit="false"/>
    </xf>
    <xf xfId="0" fontId="7" numFmtId="0" fillId="7" borderId="10" applyFont="1" applyNumberFormat="0" applyFill="1" applyBorder="1" applyAlignment="1">
      <alignment horizontal="center" vertical="center" textRotation="0" wrapText="true" shrinkToFit="false"/>
    </xf>
    <xf xfId="0" fontId="7" numFmtId="0" fillId="7" borderId="11" applyFont="1" applyNumberFormat="0" applyFill="1" applyBorder="1" applyAlignment="1">
      <alignment horizontal="center" vertical="center" textRotation="0" wrapText="true" shrinkToFit="false"/>
    </xf>
    <xf xfId="0" fontId="7" numFmtId="0" fillId="8" borderId="6" applyFont="1" applyNumberFormat="0" applyFill="1" applyBorder="1" applyAlignment="1">
      <alignment horizontal="center" vertical="center" textRotation="0" wrapText="true" shrinkToFit="false"/>
    </xf>
    <xf xfId="0" fontId="7" numFmtId="0" fillId="8" borderId="7" applyFont="1" applyNumberFormat="0" applyFill="1" applyBorder="1" applyAlignment="1">
      <alignment horizontal="center" vertical="center" textRotation="0" wrapText="true" shrinkToFit="false"/>
    </xf>
    <xf xfId="0" fontId="7" numFmtId="0" fillId="8" borderId="8" applyFont="1" applyNumberFormat="0" applyFill="1" applyBorder="1" applyAlignment="1">
      <alignment horizontal="center" vertical="center" textRotation="0" wrapText="true" shrinkToFit="false"/>
    </xf>
    <xf xfId="0" fontId="7" numFmtId="0" fillId="8" borderId="9" applyFont="1" applyNumberFormat="0" applyFill="1" applyBorder="1" applyAlignment="1">
      <alignment horizontal="center" vertical="center" textRotation="0" wrapText="true" shrinkToFit="false"/>
    </xf>
    <xf xfId="0" fontId="7" numFmtId="0" fillId="8" borderId="10" applyFont="1" applyNumberFormat="0" applyFill="1" applyBorder="1" applyAlignment="1">
      <alignment horizontal="center" vertical="center" textRotation="0" wrapText="true" shrinkToFit="false"/>
    </xf>
    <xf xfId="0" fontId="7" numFmtId="0" fillId="8" borderId="11" applyFont="1" applyNumberFormat="0" applyFill="1" applyBorder="1" applyAlignment="1">
      <alignment horizontal="center" vertical="center" textRotation="0" wrapText="true" shrinkToFit="false"/>
    </xf>
    <xf xfId="0" fontId="7" numFmtId="0" fillId="9" borderId="6" applyFont="1" applyNumberFormat="0" applyFill="1" applyBorder="1" applyAlignment="1">
      <alignment horizontal="center" vertical="center" textRotation="0" wrapText="true" shrinkToFit="false"/>
    </xf>
    <xf xfId="0" fontId="7" numFmtId="0" fillId="9" borderId="7" applyFont="1" applyNumberFormat="0" applyFill="1" applyBorder="1" applyAlignment="1">
      <alignment horizontal="center" vertical="center" textRotation="0" wrapText="true" shrinkToFit="false"/>
    </xf>
    <xf xfId="0" fontId="7" numFmtId="0" fillId="9" borderId="8" applyFont="1" applyNumberFormat="0" applyFill="1" applyBorder="1" applyAlignment="1">
      <alignment horizontal="center" vertical="center" textRotation="0" wrapText="true" shrinkToFit="false"/>
    </xf>
    <xf xfId="0" fontId="7" numFmtId="0" fillId="9" borderId="9" applyFont="1" applyNumberFormat="0" applyFill="1" applyBorder="1" applyAlignment="1">
      <alignment horizontal="center" vertical="center" textRotation="0" wrapText="true" shrinkToFit="false"/>
    </xf>
    <xf xfId="0" fontId="7" numFmtId="0" fillId="9" borderId="10" applyFont="1" applyNumberFormat="0" applyFill="1" applyBorder="1" applyAlignment="1">
      <alignment horizontal="center" vertical="center" textRotation="0" wrapText="true" shrinkToFit="false"/>
    </xf>
    <xf xfId="0" fontId="7" numFmtId="0" fillId="9" borderId="11" applyFont="1" applyNumberFormat="0" applyFill="1" applyBorder="1" applyAlignment="1">
      <alignment horizontal="center" vertical="center" textRotation="0" wrapText="true" shrinkToFit="false"/>
    </xf>
    <xf xfId="0" fontId="7" numFmtId="0" fillId="10" borderId="6" applyFont="1" applyNumberFormat="0" applyFill="1" applyBorder="1" applyAlignment="1">
      <alignment horizontal="center" vertical="center" textRotation="0" wrapText="true" shrinkToFit="false"/>
    </xf>
    <xf xfId="0" fontId="7" numFmtId="0" fillId="10" borderId="7" applyFont="1" applyNumberFormat="0" applyFill="1" applyBorder="1" applyAlignment="1">
      <alignment horizontal="center" vertical="center" textRotation="0" wrapText="true" shrinkToFit="false"/>
    </xf>
    <xf xfId="0" fontId="7" numFmtId="0" fillId="10" borderId="8" applyFont="1" applyNumberFormat="0" applyFill="1" applyBorder="1" applyAlignment="1">
      <alignment horizontal="center" vertical="center" textRotation="0" wrapText="true" shrinkToFit="false"/>
    </xf>
    <xf xfId="0" fontId="7" numFmtId="0" fillId="10" borderId="9" applyFont="1" applyNumberFormat="0" applyFill="1" applyBorder="1" applyAlignment="1">
      <alignment horizontal="center" vertical="center" textRotation="0" wrapText="true" shrinkToFit="false"/>
    </xf>
    <xf xfId="0" fontId="7" numFmtId="0" fillId="10" borderId="10" applyFont="1" applyNumberFormat="0" applyFill="1" applyBorder="1" applyAlignment="1">
      <alignment horizontal="center" vertical="center" textRotation="0" wrapText="true" shrinkToFit="false"/>
    </xf>
    <xf xfId="0" fontId="7" numFmtId="0" fillId="10" borderId="11" applyFont="1" applyNumberFormat="0" applyFill="1" applyBorder="1" applyAlignment="1">
      <alignment horizontal="center" vertical="center" textRotation="0" wrapText="true" shrinkToFit="false"/>
    </xf>
    <xf xfId="0" fontId="7" numFmtId="0" fillId="11" borderId="6" applyFont="1" applyNumberFormat="0" applyFill="1" applyBorder="1" applyAlignment="1">
      <alignment horizontal="center" vertical="center" textRotation="0" wrapText="true" shrinkToFit="false"/>
    </xf>
    <xf xfId="0" fontId="7" numFmtId="0" fillId="11" borderId="7" applyFont="1" applyNumberFormat="0" applyFill="1" applyBorder="1" applyAlignment="1">
      <alignment horizontal="center" vertical="center" textRotation="0" wrapText="true" shrinkToFit="false"/>
    </xf>
    <xf xfId="0" fontId="7" numFmtId="0" fillId="11" borderId="8" applyFont="1" applyNumberFormat="0" applyFill="1" applyBorder="1" applyAlignment="1">
      <alignment horizontal="center" vertical="center" textRotation="0" wrapText="true" shrinkToFit="false"/>
    </xf>
    <xf xfId="0" fontId="7" numFmtId="0" fillId="11" borderId="9" applyFont="1" applyNumberFormat="0" applyFill="1" applyBorder="1" applyAlignment="1">
      <alignment horizontal="center" vertical="center" textRotation="0" wrapText="true" shrinkToFit="false"/>
    </xf>
    <xf xfId="0" fontId="7" numFmtId="0" fillId="11" borderId="10" applyFont="1" applyNumberFormat="0" applyFill="1" applyBorder="1" applyAlignment="1">
      <alignment horizontal="center" vertical="center" textRotation="0" wrapText="true" shrinkToFit="false"/>
    </xf>
    <xf xfId="0" fontId="7" numFmtId="0" fillId="11" borderId="11" applyFont="1" applyNumberFormat="0" applyFill="1" applyBorder="1" applyAlignment="1">
      <alignment horizontal="center" vertical="center" textRotation="0" wrapText="true" shrinkToFit="false"/>
    </xf>
    <xf xfId="0" fontId="7" numFmtId="0" fillId="12" borderId="6" applyFont="1" applyNumberFormat="0" applyFill="1" applyBorder="1" applyAlignment="1">
      <alignment horizontal="center" vertical="center" textRotation="0" wrapText="true" shrinkToFit="false"/>
    </xf>
    <xf xfId="0" fontId="7" numFmtId="0" fillId="12" borderId="7" applyFont="1" applyNumberFormat="0" applyFill="1" applyBorder="1" applyAlignment="1">
      <alignment horizontal="center" vertical="center" textRotation="0" wrapText="true" shrinkToFit="false"/>
    </xf>
    <xf xfId="0" fontId="7" numFmtId="0" fillId="12" borderId="8" applyFont="1" applyNumberFormat="0" applyFill="1" applyBorder="1" applyAlignment="1">
      <alignment horizontal="center" vertical="center" textRotation="0" wrapText="true" shrinkToFit="false"/>
    </xf>
    <xf xfId="0" fontId="7" numFmtId="0" fillId="12" borderId="9" applyFont="1" applyNumberFormat="0" applyFill="1" applyBorder="1" applyAlignment="1">
      <alignment horizontal="center" vertical="center" textRotation="0" wrapText="true" shrinkToFit="false"/>
    </xf>
    <xf xfId="0" fontId="7" numFmtId="0" fillId="12" borderId="10" applyFont="1" applyNumberFormat="0" applyFill="1" applyBorder="1" applyAlignment="1">
      <alignment horizontal="center" vertical="center" textRotation="0" wrapText="true" shrinkToFit="false"/>
    </xf>
    <xf xfId="0" fontId="7" numFmtId="0" fillId="12" borderId="11" applyFont="1" applyNumberFormat="0" applyFill="1" applyBorder="1" applyAlignment="1">
      <alignment horizontal="center" vertical="center" textRotation="0" wrapText="true" shrinkToFit="false"/>
    </xf>
    <xf xfId="0" fontId="0" numFmtId="0" fillId="13" borderId="12" applyFont="0" applyNumberFormat="0" applyFill="1" applyBorder="1" applyAlignment="1">
      <alignment vertical="center" textRotation="0" wrapText="true" shrinkToFit="false"/>
    </xf>
    <xf xfId="0" fontId="0" numFmtId="0" fillId="13" borderId="4" applyFont="0" applyNumberFormat="0" applyFill="1" applyBorder="1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6" borderId="4" applyFont="0" applyNumberFormat="0" applyFill="1" applyBorder="1" applyAlignment="1">
      <alignment horizontal="center" vertical="bottom" textRotation="0" wrapText="false" shrinkToFit="false"/>
    </xf>
    <xf xfId="0" fontId="8" numFmtId="0" fillId="14" borderId="4" applyFont="1" applyNumberFormat="0" applyFill="1" applyBorder="1" applyAlignment="1">
      <alignment horizontal="center" vertical="center" textRotation="0" wrapText="false" shrinkToFit="false"/>
    </xf>
    <xf xfId="0" fontId="0" numFmtId="0" fillId="13" borderId="12" applyFont="0" applyNumberFormat="0" applyFill="1" applyBorder="1" applyAlignment="1">
      <alignment horizontal="center" vertical="center" textRotation="0" wrapText="true" shrinkToFit="false"/>
    </xf>
    <xf xfId="0" fontId="0" numFmtId="0" fillId="13" borderId="4" applyFont="0" applyNumberFormat="0" applyFill="1" applyBorder="1" applyAlignment="1">
      <alignment horizontal="center" vertical="center" textRotation="0" wrapText="true" shrinkToFit="false"/>
    </xf>
    <xf xfId="0" fontId="0" numFmtId="0" fillId="15" borderId="4" applyFont="0" applyNumberFormat="0" applyFill="1" applyBorder="1" applyAlignment="1">
      <alignment horizontal="center" vertical="bottom" textRotation="0" wrapText="false" shrinkToFit="false"/>
    </xf>
    <xf xfId="0" fontId="0" numFmtId="0" fillId="15" borderId="4" applyFont="0" applyNumberFormat="0" applyFill="1" applyBorder="1" applyAlignment="0"/>
    <xf xfId="0" fontId="9" numFmtId="0" fillId="16" borderId="4" applyFont="1" applyNumberFormat="0" applyFill="1" applyBorder="1" applyAlignment="1">
      <alignment horizontal="center" vertical="center" textRotation="0" wrapText="false" shrinkToFit="false"/>
    </xf>
    <xf xfId="0" fontId="10" numFmtId="0" fillId="17" borderId="4" applyFont="1" applyNumberFormat="0" applyFill="1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bottom" textRotation="0" wrapText="false" shrinkToFit="false"/>
    </xf>
    <xf xfId="0" fontId="0" numFmtId="2" fillId="0" borderId="4" applyFont="0" applyNumberFormat="1" applyFill="0" applyBorder="1" applyAlignment="1">
      <alignment horizontal="center" vertical="bottom" textRotation="0" wrapText="false" shrinkToFit="false"/>
    </xf>
    <xf xfId="0" fontId="10" numFmtId="0" fillId="17" borderId="4" applyFont="1" applyNumberFormat="0" applyFill="1" applyBorder="1" applyAlignment="1">
      <alignment horizontal="center" vertical="bottom" textRotation="0" wrapText="false" shrinkToFit="false"/>
    </xf>
    <xf xfId="0" fontId="9" numFmtId="0" fillId="16" borderId="4" applyFont="1" applyNumberFormat="0" applyFill="1" applyBorder="1" applyAlignment="1">
      <alignment horizontal="center" vertical="bottom" textRotation="0" wrapText="false" shrinkToFit="false"/>
    </xf>
    <xf xfId="0" fontId="0" numFmtId="2" fillId="6" borderId="4" applyFont="0" applyNumberFormat="1" applyFill="1" applyBorder="1" applyAlignment="1">
      <alignment horizontal="center" vertical="bottom" textRotation="0" wrapText="false" shrinkToFit="false"/>
    </xf>
    <xf xfId="0" fontId="11" numFmtId="0" fillId="18" borderId="4" applyFont="1" applyNumberFormat="0" applyFill="1" applyBorder="1" applyAlignment="1">
      <alignment horizontal="center" vertical="bottom" textRotation="0" wrapText="false" shrinkToFit="false"/>
    </xf>
    <xf xfId="0" fontId="8" numFmtId="0" fillId="4" borderId="13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0" numFmtId="0" fillId="0" borderId="20" applyFont="0" applyNumberFormat="0" applyFill="0" applyBorder="1" applyAlignment="0"/>
    <xf xfId="0" fontId="12" numFmtId="0" fillId="16" borderId="4" applyFont="1" applyNumberFormat="0" applyFill="1" applyBorder="1" applyAlignment="0"/>
    <xf xfId="0" fontId="12" numFmtId="0" fillId="18" borderId="4" applyFont="1" applyNumberFormat="0" applyFill="1" applyBorder="1" applyAlignment="0"/>
    <xf xfId="0" fontId="12" numFmtId="0" fillId="17" borderId="4" applyFont="1" applyNumberFormat="0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5" borderId="4" applyFont="1" applyNumberFormat="0" applyFill="1" applyBorder="1" applyAlignment="1">
      <alignment horizontal="center" vertical="center" textRotation="0" wrapText="false" shrinkToFit="false"/>
    </xf>
    <xf xfId="0" fontId="12" numFmtId="0" fillId="0" borderId="4" applyFont="1" applyNumberFormat="0" applyFill="0" applyBorder="1" applyAlignment="0"/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left" vertical="top" textRotation="0" wrapText="true" shrinkToFit="false"/>
    </xf>
    <xf xfId="0" fontId="12" numFmtId="0" fillId="0" borderId="4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1B365D"/>
    <outlinePr summaryBelow="1" summaryRight="1"/>
  </sheetPr>
  <dimension ref="A1:I23"/>
  <sheetViews>
    <sheetView tabSelected="1" workbookViewId="0" showGridLines="false" showRowColHeaders="1">
      <selection activeCell="G22" sqref="G22:I23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16" customWidth="true" style="0"/>
    <col min="4" max="4" width="6" customWidth="true" style="0"/>
    <col min="5" max="5" width="24" customWidth="true" style="0"/>
    <col min="6" max="6" width="16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 customHeight="1" ht="30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customHeight="1" ht="30">
      <c r="A2" s="1"/>
      <c r="B2" s="1"/>
      <c r="C2" s="1"/>
      <c r="D2" s="1"/>
      <c r="E2" s="1"/>
      <c r="F2" s="1"/>
      <c r="G2" s="1"/>
      <c r="H2" s="1"/>
      <c r="I2" s="1"/>
    </row>
    <row r="3" spans="1:9" customHeight="1" ht="24">
      <c r="A3" s="2" t="s">
        <v>1</v>
      </c>
    </row>
    <row r="5" spans="1:9" customHeight="1" ht="26">
      <c r="A5" s="3" t="s">
        <v>2</v>
      </c>
      <c r="B5" s="4"/>
      <c r="C5" s="4"/>
      <c r="D5" s="5"/>
      <c r="F5" s="3" t="s">
        <v>16</v>
      </c>
      <c r="G5" s="4"/>
      <c r="H5" s="4"/>
      <c r="I5" s="5"/>
    </row>
    <row r="6" spans="1:9" customHeight="1" ht="38">
      <c r="A6" s="7" t="s">
        <v>3</v>
      </c>
      <c r="B6" s="8" t="s">
        <v>4</v>
      </c>
      <c r="C6" s="9"/>
      <c r="D6" s="9"/>
      <c r="F6" s="13" t="s">
        <v>17</v>
      </c>
      <c r="G6" s="8" t="s">
        <v>18</v>
      </c>
      <c r="H6" s="9"/>
      <c r="I6" s="9"/>
    </row>
    <row r="7" spans="1:9" customHeight="1" ht="38">
      <c r="A7" s="10" t="s">
        <v>5</v>
      </c>
      <c r="B7" s="11" t="s">
        <v>6</v>
      </c>
      <c r="C7" s="12"/>
      <c r="D7" s="12"/>
      <c r="F7" s="14" t="s">
        <v>19</v>
      </c>
      <c r="G7" s="11" t="s">
        <v>20</v>
      </c>
      <c r="H7" s="12"/>
      <c r="I7" s="12"/>
    </row>
    <row r="8" spans="1:9" customHeight="1" ht="38">
      <c r="A8" s="7" t="s">
        <v>7</v>
      </c>
      <c r="B8" s="8" t="s">
        <v>8</v>
      </c>
      <c r="C8" s="9"/>
      <c r="D8" s="9"/>
      <c r="F8" s="13" t="s">
        <v>21</v>
      </c>
      <c r="G8" s="8" t="s">
        <v>22</v>
      </c>
      <c r="H8" s="9"/>
      <c r="I8" s="9"/>
    </row>
    <row r="9" spans="1:9" customHeight="1" ht="38">
      <c r="A9" s="10" t="s">
        <v>9</v>
      </c>
      <c r="B9" s="11" t="s">
        <v>10</v>
      </c>
      <c r="C9" s="12"/>
      <c r="D9" s="12"/>
      <c r="F9" s="14" t="s">
        <v>23</v>
      </c>
      <c r="G9" s="11" t="s">
        <v>24</v>
      </c>
      <c r="H9" s="12"/>
      <c r="I9" s="12"/>
    </row>
    <row r="10" spans="1:9" customHeight="1" ht="24">
      <c r="A10" s="7" t="s">
        <v>11</v>
      </c>
      <c r="B10" s="8" t="s">
        <v>12</v>
      </c>
      <c r="C10" s="9"/>
      <c r="D10" s="9"/>
    </row>
    <row r="11" spans="1:9" customHeight="1" ht="24">
      <c r="A11" s="10" t="s">
        <v>13</v>
      </c>
      <c r="B11" s="11" t="s">
        <v>14</v>
      </c>
      <c r="C11" s="12"/>
      <c r="D11" s="12"/>
    </row>
    <row r="12" spans="1:9" customHeight="1" ht="24">
      <c r="A12" s="7" t="s">
        <v>15</v>
      </c>
      <c r="B12" s="8">
        <v>75.0</v>
      </c>
      <c r="C12" s="9"/>
      <c r="D12" s="9"/>
    </row>
    <row r="14" spans="1:9" customHeight="1" ht="30">
      <c r="A14" s="15" t="s">
        <v>25</v>
      </c>
      <c r="B14" s="15"/>
      <c r="C14" s="15"/>
      <c r="D14" s="15"/>
      <c r="E14" s="15"/>
      <c r="F14" s="15"/>
      <c r="G14" s="15"/>
      <c r="H14" s="15"/>
      <c r="I14" s="15"/>
    </row>
    <row r="16" spans="1:9">
      <c r="A16" s="16" t="s">
        <v>26</v>
      </c>
      <c r="B16" s="18"/>
      <c r="C16" s="20"/>
      <c r="D16" s="22" t="s">
        <v>27</v>
      </c>
      <c r="E16" s="24"/>
      <c r="F16" s="26"/>
      <c r="G16" s="22" t="s">
        <v>28</v>
      </c>
      <c r="H16" s="24"/>
      <c r="I16" s="26"/>
    </row>
    <row r="17" spans="1:9">
      <c r="A17" s="17"/>
      <c r="B17" s="19"/>
      <c r="C17" s="21"/>
      <c r="D17" s="23"/>
      <c r="E17" s="25"/>
      <c r="F17" s="27"/>
      <c r="G17" s="23"/>
      <c r="H17" s="25"/>
      <c r="I17" s="27"/>
    </row>
    <row r="19" spans="1:9">
      <c r="A19" s="16" t="s">
        <v>29</v>
      </c>
      <c r="B19" s="18"/>
      <c r="C19" s="20"/>
      <c r="D19" s="28" t="s">
        <v>30</v>
      </c>
      <c r="E19" s="30"/>
      <c r="F19" s="32"/>
      <c r="G19" s="28" t="s">
        <v>31</v>
      </c>
      <c r="H19" s="30"/>
      <c r="I19" s="32"/>
    </row>
    <row r="20" spans="1:9">
      <c r="A20" s="17"/>
      <c r="B20" s="19"/>
      <c r="C20" s="21"/>
      <c r="D20" s="29"/>
      <c r="E20" s="31"/>
      <c r="F20" s="33"/>
      <c r="G20" s="29"/>
      <c r="H20" s="31"/>
      <c r="I20" s="33"/>
    </row>
    <row r="22" spans="1:9">
      <c r="A22" s="34" t="s">
        <v>32</v>
      </c>
      <c r="B22" s="36"/>
      <c r="C22" s="38"/>
      <c r="D22" s="40" t="s">
        <v>33</v>
      </c>
      <c r="E22" s="42"/>
      <c r="F22" s="44"/>
      <c r="G22" s="46" t="s">
        <v>34</v>
      </c>
      <c r="H22" s="48"/>
      <c r="I22" s="50"/>
    </row>
    <row r="23" spans="1:9">
      <c r="A23" s="35"/>
      <c r="B23" s="37"/>
      <c r="C23" s="39"/>
      <c r="D23" s="41"/>
      <c r="E23" s="43"/>
      <c r="F23" s="45"/>
      <c r="G23" s="47"/>
      <c r="H23" s="49"/>
      <c r="I23" s="51"/>
    </row>
  </sheetData>
  <mergeCells>
    <mergeCell ref="A1:I2"/>
    <mergeCell ref="A3:I3"/>
    <mergeCell ref="A5:D5"/>
    <mergeCell ref="B6:D6"/>
    <mergeCell ref="B7:D7"/>
    <mergeCell ref="B8:D8"/>
    <mergeCell ref="B9:D9"/>
    <mergeCell ref="B10:D10"/>
    <mergeCell ref="B11:D11"/>
    <mergeCell ref="B12:D12"/>
    <mergeCell ref="F5:I5"/>
    <mergeCell ref="G6:I6"/>
    <mergeCell ref="G7:I7"/>
    <mergeCell ref="G8:I8"/>
    <mergeCell ref="G9:I9"/>
    <mergeCell ref="A14:I14"/>
    <mergeCell ref="A16:C17"/>
    <mergeCell ref="D16:F17"/>
    <mergeCell ref="G16:I17"/>
    <mergeCell ref="A19:C20"/>
    <mergeCell ref="D19:F20"/>
    <mergeCell ref="G19:I20"/>
    <mergeCell ref="A22:C23"/>
    <mergeCell ref="D22:F23"/>
    <mergeCell ref="G22:I23"/>
  </mergeCells>
  <hyperlinks>
    <hyperlink ref="A16" location="'IDENTITAS'!A1"/>
    <hyperlink ref="D16" location="'DATA_KELAS'!A1"/>
    <hyperlink ref="G16" location="'DATA_SISWA'!A1"/>
    <hyperlink ref="A19" location="'KUNCI_JAWABAN'!A1"/>
    <hyperlink ref="D19" location="'INPUT_JAWABAN_ABCD'!A1"/>
    <hyperlink ref="G19" location="'INPUT_SKOR_01'!A1"/>
    <hyperlink ref="A22" location="'HASIL_T1'!A1"/>
    <hyperlink ref="D22" location="'ANALISIS_T3'!A1"/>
    <hyperlink ref="G22" location="'REKAP_NILAI_T5'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>&amp;L&amp;BBERANDA&amp;R&amp;D &amp;T</oddHeader>
    <oddFooter>&amp;L&amp;"Calibri,Regular"&amp;8SIABSoal - SMPN 2 Tasikmalaya&amp;C&amp;P / &amp;N&amp;R&amp;"Calibri,Regular"&amp;8Dicetak: &amp;D</oddFooter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2196F3"/>
    <outlinePr summaryBelow="1" summaryRight="1"/>
    <pageSetUpPr fitToPage="1"/>
  </sheetPr>
  <dimension ref="A1:E24"/>
  <sheetViews>
    <sheetView tabSelected="0" workbookViewId="0" showGridLines="true" showRowColHeaders="1">
      <selection activeCell="A24" sqref="A24:E24"/>
    </sheetView>
  </sheetViews>
  <sheetFormatPr defaultRowHeight="14.4" outlineLevelRow="0" outlineLevelCol="0"/>
  <cols>
    <col min="1" max="1" width="18" customWidth="true" style="0"/>
    <col min="2" max="2" width="45" customWidth="true" style="0"/>
    <col min="3" max="3" width="25" customWidth="true" style="0"/>
    <col min="4" max="4" width="10" customWidth="true" style="0"/>
    <col min="5" max="5" width="20" customWidth="true" style="0"/>
  </cols>
  <sheetData>
    <row r="1" spans="1:5" customHeight="1" ht="32">
      <c r="A1" s="15" t="s">
        <v>35</v>
      </c>
      <c r="B1" s="15"/>
      <c r="C1" s="15"/>
      <c r="D1" s="15"/>
      <c r="E1" s="15"/>
    </row>
    <row r="3" spans="1:5" customHeight="1" ht="24">
      <c r="A3" s="7" t="s">
        <v>36</v>
      </c>
      <c r="B3" s="53" t="s">
        <v>37</v>
      </c>
      <c r="C3" s="53"/>
      <c r="D3" s="53"/>
      <c r="E3" s="53"/>
    </row>
    <row r="4" spans="1:5" customHeight="1" ht="24">
      <c r="A4" s="10" t="s">
        <v>3</v>
      </c>
      <c r="B4" s="53" t="s">
        <v>38</v>
      </c>
      <c r="C4" s="53"/>
      <c r="D4" s="53"/>
      <c r="E4" s="53"/>
    </row>
    <row r="5" spans="1:5" customHeight="1" ht="24">
      <c r="A5" s="7" t="s">
        <v>39</v>
      </c>
      <c r="B5" s="53" t="s">
        <v>10</v>
      </c>
      <c r="C5" s="53"/>
      <c r="D5" s="53"/>
      <c r="E5" s="53"/>
    </row>
    <row r="6" spans="1:5" customHeight="1" ht="24">
      <c r="A6" s="10" t="s">
        <v>40</v>
      </c>
      <c r="B6" s="53" t="s">
        <v>41</v>
      </c>
      <c r="C6" s="53"/>
      <c r="D6" s="53"/>
      <c r="E6" s="53"/>
    </row>
    <row r="7" spans="1:5" customHeight="1" ht="24">
      <c r="A7" s="7" t="s">
        <v>11</v>
      </c>
      <c r="B7" s="53" t="s">
        <v>12</v>
      </c>
      <c r="C7" s="53"/>
      <c r="D7" s="53"/>
      <c r="E7" s="53"/>
    </row>
    <row r="8" spans="1:5" customHeight="1" ht="24">
      <c r="A8" s="10" t="s">
        <v>42</v>
      </c>
      <c r="B8" s="53" t="s">
        <v>43</v>
      </c>
      <c r="C8" s="53"/>
      <c r="D8" s="53"/>
      <c r="E8" s="53"/>
    </row>
    <row r="9" spans="1:5" customHeight="1" ht="24">
      <c r="A9" s="7" t="s">
        <v>13</v>
      </c>
      <c r="B9" s="53" t="s">
        <v>14</v>
      </c>
      <c r="C9" s="53"/>
      <c r="D9" s="53"/>
      <c r="E9" s="53"/>
    </row>
    <row r="10" spans="1:5" customHeight="1" ht="24">
      <c r="A10" s="10" t="s">
        <v>44</v>
      </c>
      <c r="B10" s="53" t="s">
        <v>45</v>
      </c>
      <c r="C10" s="53"/>
      <c r="D10" s="53"/>
      <c r="E10" s="53"/>
    </row>
    <row r="11" spans="1:5" customHeight="1" ht="24">
      <c r="A11" s="7" t="s">
        <v>46</v>
      </c>
      <c r="B11" s="53" t="s">
        <v>47</v>
      </c>
      <c r="C11" s="53"/>
      <c r="D11" s="53"/>
      <c r="E11" s="53"/>
    </row>
    <row r="12" spans="1:5" customHeight="1" ht="24">
      <c r="A12" s="10" t="s">
        <v>48</v>
      </c>
      <c r="B12" s="53">
        <v>20</v>
      </c>
      <c r="C12" s="53"/>
      <c r="D12" s="53"/>
      <c r="E12" s="53"/>
    </row>
    <row r="13" spans="1:5" customHeight="1" ht="24">
      <c r="A13" s="7" t="s">
        <v>15</v>
      </c>
      <c r="B13" s="53">
        <v>75.0</v>
      </c>
      <c r="C13" s="53"/>
      <c r="D13" s="53"/>
      <c r="E13" s="53"/>
    </row>
    <row r="14" spans="1:5" customHeight="1" ht="24">
      <c r="A14" s="10" t="s">
        <v>49</v>
      </c>
      <c r="B14" s="53" t="s">
        <v>50</v>
      </c>
      <c r="C14" s="53"/>
      <c r="D14" s="53"/>
      <c r="E14" s="53"/>
    </row>
    <row r="15" spans="1:5" customHeight="1" ht="45">
      <c r="A15" s="7" t="s">
        <v>51</v>
      </c>
      <c r="B15" s="53" t="s">
        <v>52</v>
      </c>
      <c r="C15" s="53"/>
      <c r="D15" s="53"/>
      <c r="E15" s="53"/>
    </row>
    <row r="16" spans="1:5" customHeight="1" ht="45">
      <c r="A16" s="10" t="s">
        <v>53</v>
      </c>
      <c r="B16" s="53"/>
      <c r="C16" s="53"/>
      <c r="D16" s="53"/>
      <c r="E16" s="53"/>
    </row>
    <row r="19" spans="1:5" customHeight="1" ht="28">
      <c r="A19" s="3" t="s">
        <v>54</v>
      </c>
      <c r="B19" s="4"/>
      <c r="C19" s="4"/>
      <c r="D19" s="4"/>
      <c r="E19" s="5"/>
    </row>
    <row r="20" spans="1:5" customHeight="1" ht="25">
      <c r="A20" s="15" t="s">
        <v>55</v>
      </c>
      <c r="B20" s="15" t="s">
        <v>51</v>
      </c>
      <c r="C20" s="15" t="s">
        <v>49</v>
      </c>
      <c r="D20" s="15" t="s">
        <v>56</v>
      </c>
      <c r="E20" s="15" t="s">
        <v>57</v>
      </c>
    </row>
    <row r="21" spans="1:5" customHeight="1" ht="40">
      <c r="A21" s="55" t="s">
        <v>58</v>
      </c>
      <c r="B21" s="8" t="s">
        <v>52</v>
      </c>
      <c r="C21" s="8" t="s">
        <v>50</v>
      </c>
      <c r="D21" s="55">
        <v>75.0</v>
      </c>
      <c r="E21" s="55" t="s">
        <v>59</v>
      </c>
    </row>
    <row r="22" spans="1:5" customHeight="1" ht="40">
      <c r="A22" s="56" t="s">
        <v>60</v>
      </c>
      <c r="B22" s="11"/>
      <c r="C22" s="11"/>
      <c r="D22" s="56">
        <v>75.0</v>
      </c>
      <c r="E22" s="56" t="s">
        <v>61</v>
      </c>
    </row>
    <row r="23" spans="1:5" customHeight="1" ht="40">
      <c r="A23" s="55" t="s">
        <v>62</v>
      </c>
      <c r="B23" s="8"/>
      <c r="C23" s="8"/>
      <c r="D23" s="55">
        <v>75.0</v>
      </c>
      <c r="E23" s="55" t="s">
        <v>63</v>
      </c>
    </row>
    <row r="24" spans="1:5" customHeight="1" ht="40">
      <c r="A24" s="56" t="s">
        <v>64</v>
      </c>
      <c r="B24" s="11"/>
      <c r="C24" s="11"/>
      <c r="D24" s="56">
        <v>75.0</v>
      </c>
      <c r="E24" s="56" t="s">
        <v>65</v>
      </c>
    </row>
  </sheetData>
  <mergeCells>
    <mergeCell ref="A1:E1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A19:E19"/>
  </mergeCells>
  <dataValidations count="2">
    <dataValidation type="whole" errorStyle="stop" operator="between" allowBlank="1" showDropDown="1" showInputMessage="1" showErrorMessage="1" errorTitle="Input Tidak Valid" error="Isi angka antara 0 sampai 100." promptTitle="Input Angka" prompt="Isi angka antara 0 sampai 100." sqref="B13">
      <formula1>0</formula1>
      <formula2>100</formula2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B10">
      <formula1>"Ulangan Harian,Penilaian Harian,STS,SAS,PAS,PAT,Asesmen Sumatif,Latihan"</formula1>
    </dataValidation>
  </dataValidations>
  <printOptions gridLines="false" gridLinesSet="true"/>
  <pageMargins left="0.4" right="0.4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&amp;L&amp;BIDENTITAS UJIAN&amp;R&amp;D &amp;T</oddHeader>
    <oddFooter>&amp;L&amp;"Calibri,Regular"&amp;8SIABSoal - SMPN 2 Tasikmalaya&amp;C&amp;P / &amp;N&amp;R&amp;"Calibri,Regular"&amp;8Dicetak: &amp;D</oddFooter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4CAF50"/>
    <outlinePr summaryBelow="1" summaryRight="1"/>
    <pageSetUpPr fitToPage="1"/>
  </sheetPr>
  <dimension ref="A1:E10"/>
  <sheetViews>
    <sheetView tabSelected="0" workbookViewId="0" showGridLines="false" showRowColHeaders="1">
      <pane ySplit="4" topLeftCell="A5" activePane="bottomLeft" state="frozen"/>
      <selection pane="bottomLeft" activeCell="A5" sqref="A5:E10"/>
    </sheetView>
  </sheetViews>
  <sheetFormatPr defaultRowHeight="14.4" outlineLevelRow="0" outlineLevelCol="0"/>
  <cols>
    <col min="1" max="1" width="15" customWidth="true" style="0"/>
    <col min="2" max="2" width="22" customWidth="true" style="0"/>
    <col min="3" max="3" width="12" customWidth="true" style="0"/>
    <col min="4" max="4" width="18" customWidth="true" style="0"/>
    <col min="5" max="5" width="28" customWidth="true" style="0"/>
  </cols>
  <sheetData>
    <row r="1" spans="1:5" customHeight="1" ht="32">
      <c r="A1" s="15" t="s">
        <v>66</v>
      </c>
      <c r="B1" s="15"/>
      <c r="C1" s="15"/>
      <c r="D1" s="15"/>
      <c r="E1" s="15"/>
    </row>
    <row r="4" spans="1:5">
      <c r="A4" s="57" t="s">
        <v>67</v>
      </c>
      <c r="B4" s="57" t="s">
        <v>68</v>
      </c>
      <c r="C4" s="57" t="s">
        <v>69</v>
      </c>
      <c r="D4" s="57" t="s">
        <v>70</v>
      </c>
      <c r="E4" s="57" t="s">
        <v>71</v>
      </c>
    </row>
    <row r="5" spans="1:5">
      <c r="A5" s="52" t="s">
        <v>72</v>
      </c>
      <c r="B5" s="52" t="s">
        <v>12</v>
      </c>
      <c r="C5" s="52" t="s">
        <v>73</v>
      </c>
      <c r="D5" s="52" t="s">
        <v>14</v>
      </c>
      <c r="E5" s="52" t="s">
        <v>10</v>
      </c>
    </row>
    <row r="6" spans="1:5">
      <c r="A6" s="52" t="s">
        <v>72</v>
      </c>
      <c r="B6" s="52"/>
      <c r="C6" s="52"/>
      <c r="D6" s="52" t="s">
        <v>14</v>
      </c>
      <c r="E6" s="52"/>
    </row>
    <row r="7" spans="1:5">
      <c r="A7" s="52" t="s">
        <v>74</v>
      </c>
      <c r="B7" s="52"/>
      <c r="C7" s="52"/>
      <c r="D7" s="52" t="s">
        <v>14</v>
      </c>
      <c r="E7" s="52"/>
    </row>
    <row r="8" spans="1:5">
      <c r="A8" s="52" t="s">
        <v>75</v>
      </c>
      <c r="B8" s="52"/>
      <c r="C8" s="52"/>
      <c r="D8" s="52" t="s">
        <v>14</v>
      </c>
      <c r="E8" s="52"/>
    </row>
    <row r="9" spans="1:5">
      <c r="A9" s="52" t="s">
        <v>76</v>
      </c>
      <c r="B9" s="52"/>
      <c r="C9" s="52"/>
      <c r="D9" s="52" t="s">
        <v>14</v>
      </c>
      <c r="E9" s="52"/>
    </row>
    <row r="10" spans="1:5">
      <c r="A10" s="52" t="s">
        <v>77</v>
      </c>
      <c r="B10" s="52"/>
      <c r="C10" s="52"/>
      <c r="D10" s="52" t="s">
        <v>14</v>
      </c>
      <c r="E10" s="52"/>
    </row>
  </sheetData>
  <mergeCells>
    <mergeCell ref="A1:E1"/>
  </mergeCells>
  <printOptions gridLines="false" gridLinesSet="true"/>
  <pageMargins left="0.4" right="0.4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&amp;L&amp;BDATA KELAS&amp;R&amp;D &amp;T</oddHeader>
    <oddFooter>&amp;L&amp;"Calibri,Regular"&amp;8SIABSoal - SMPN 2 Tasikmalaya&amp;C&amp;P / &amp;N&amp;R&amp;"Calibri,Regular"&amp;8Dicetak: &amp;D</oddFooter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4CAF50"/>
    <outlinePr summaryBelow="1" summaryRight="1"/>
    <pageSetUpPr fitToPage="1"/>
  </sheetPr>
  <dimension ref="A1:G14"/>
  <sheetViews>
    <sheetView tabSelected="0" workbookViewId="0" showGridLines="false" showRowColHeaders="1">
      <pane ySplit="4" topLeftCell="A5" activePane="bottomLeft" state="frozen"/>
      <selection pane="bottomLeft" activeCell="E5" sqref="E5:G14"/>
    </sheetView>
  </sheetViews>
  <sheetFormatPr defaultRowHeight="14.4" outlineLevelRow="0" outlineLevelCol="0"/>
  <cols>
    <col min="1" max="1" width="8" customWidth="true" style="0"/>
    <col min="2" max="2" width="16" customWidth="true" style="0"/>
    <col min="3" max="3" width="18" customWidth="true" style="0"/>
    <col min="4" max="4" width="34" customWidth="true" style="0"/>
    <col min="5" max="5" width="15" customWidth="true" style="0"/>
    <col min="6" max="6" width="18" customWidth="true" style="0"/>
    <col min="7" max="7" width="18" customWidth="true" style="0"/>
  </cols>
  <sheetData>
    <row r="1" spans="1:7" customHeight="1" ht="32">
      <c r="A1" s="15" t="s">
        <v>78</v>
      </c>
      <c r="B1" s="15"/>
      <c r="C1" s="15"/>
      <c r="D1" s="15"/>
      <c r="E1" s="15"/>
      <c r="F1" s="15"/>
      <c r="G1" s="15"/>
    </row>
    <row r="4" spans="1:7">
      <c r="A4" s="57" t="s">
        <v>79</v>
      </c>
      <c r="B4" s="57" t="s">
        <v>80</v>
      </c>
      <c r="C4" s="57" t="s">
        <v>81</v>
      </c>
      <c r="D4" s="57" t="s">
        <v>82</v>
      </c>
      <c r="E4" s="57" t="s">
        <v>83</v>
      </c>
      <c r="F4" s="57" t="s">
        <v>84</v>
      </c>
      <c r="G4" s="57" t="s">
        <v>85</v>
      </c>
    </row>
    <row r="5" spans="1:7">
      <c r="A5" s="58">
        <v>1</v>
      </c>
      <c r="B5" s="58">
        <v>2501</v>
      </c>
      <c r="C5" s="58" t="s">
        <v>86</v>
      </c>
      <c r="D5" s="52" t="s">
        <v>87</v>
      </c>
      <c r="E5" s="58" t="s">
        <v>88</v>
      </c>
      <c r="F5" s="58" t="s">
        <v>12</v>
      </c>
      <c r="G5" s="58" t="s">
        <v>89</v>
      </c>
    </row>
    <row r="6" spans="1:7">
      <c r="A6" s="58">
        <v>2</v>
      </c>
      <c r="B6" s="58">
        <v>2502</v>
      </c>
      <c r="C6" s="58" t="s">
        <v>90</v>
      </c>
      <c r="D6" s="52" t="s">
        <v>91</v>
      </c>
      <c r="E6" s="58" t="s">
        <v>92</v>
      </c>
      <c r="F6" s="58" t="s">
        <v>12</v>
      </c>
      <c r="G6" s="58" t="s">
        <v>89</v>
      </c>
    </row>
    <row r="7" spans="1:7">
      <c r="A7" s="58">
        <v>3</v>
      </c>
      <c r="B7" s="58">
        <v>2503</v>
      </c>
      <c r="C7" s="58" t="s">
        <v>93</v>
      </c>
      <c r="D7" s="52" t="s">
        <v>94</v>
      </c>
      <c r="E7" s="58" t="s">
        <v>88</v>
      </c>
      <c r="F7" s="58" t="s">
        <v>12</v>
      </c>
      <c r="G7" s="58" t="s">
        <v>89</v>
      </c>
    </row>
    <row r="8" spans="1:7">
      <c r="A8" s="58">
        <v>4</v>
      </c>
      <c r="B8" s="58">
        <v>2504</v>
      </c>
      <c r="C8" s="58" t="s">
        <v>95</v>
      </c>
      <c r="D8" s="52" t="s">
        <v>96</v>
      </c>
      <c r="E8" s="58" t="s">
        <v>92</v>
      </c>
      <c r="F8" s="58" t="s">
        <v>12</v>
      </c>
      <c r="G8" s="58" t="s">
        <v>89</v>
      </c>
    </row>
    <row r="9" spans="1:7">
      <c r="A9" s="58">
        <v>5</v>
      </c>
      <c r="B9" s="58">
        <v>2505</v>
      </c>
      <c r="C9" s="58" t="s">
        <v>97</v>
      </c>
      <c r="D9" s="52" t="s">
        <v>98</v>
      </c>
      <c r="E9" s="58" t="s">
        <v>88</v>
      </c>
      <c r="F9" s="58" t="s">
        <v>12</v>
      </c>
      <c r="G9" s="58" t="s">
        <v>89</v>
      </c>
    </row>
    <row r="10" spans="1:7">
      <c r="A10" s="58">
        <v>6</v>
      </c>
      <c r="B10" s="58">
        <v>2506</v>
      </c>
      <c r="C10" s="58" t="s">
        <v>99</v>
      </c>
      <c r="D10" s="52" t="s">
        <v>100</v>
      </c>
      <c r="E10" s="58" t="s">
        <v>92</v>
      </c>
      <c r="F10" s="58" t="s">
        <v>12</v>
      </c>
      <c r="G10" s="58" t="s">
        <v>89</v>
      </c>
    </row>
    <row r="11" spans="1:7">
      <c r="A11" s="58">
        <v>7</v>
      </c>
      <c r="B11" s="58">
        <v>2507</v>
      </c>
      <c r="C11" s="58" t="s">
        <v>101</v>
      </c>
      <c r="D11" s="52" t="s">
        <v>102</v>
      </c>
      <c r="E11" s="58" t="s">
        <v>88</v>
      </c>
      <c r="F11" s="58" t="s">
        <v>12</v>
      </c>
      <c r="G11" s="58" t="s">
        <v>89</v>
      </c>
    </row>
    <row r="12" spans="1:7">
      <c r="A12" s="58">
        <v>8</v>
      </c>
      <c r="B12" s="58">
        <v>2508</v>
      </c>
      <c r="C12" s="58" t="s">
        <v>103</v>
      </c>
      <c r="D12" s="52" t="s">
        <v>104</v>
      </c>
      <c r="E12" s="58" t="s">
        <v>92</v>
      </c>
      <c r="F12" s="58" t="s">
        <v>12</v>
      </c>
      <c r="G12" s="58" t="s">
        <v>89</v>
      </c>
    </row>
    <row r="13" spans="1:7">
      <c r="A13" s="58">
        <v>9</v>
      </c>
      <c r="B13" s="58">
        <v>2509</v>
      </c>
      <c r="C13" s="58" t="s">
        <v>105</v>
      </c>
      <c r="D13" s="52" t="s">
        <v>106</v>
      </c>
      <c r="E13" s="58" t="s">
        <v>88</v>
      </c>
      <c r="F13" s="58" t="s">
        <v>12</v>
      </c>
      <c r="G13" s="58" t="s">
        <v>89</v>
      </c>
    </row>
    <row r="14" spans="1:7">
      <c r="A14" s="58">
        <v>10</v>
      </c>
      <c r="B14" s="58">
        <v>2510</v>
      </c>
      <c r="C14" s="58" t="s">
        <v>107</v>
      </c>
      <c r="D14" s="52" t="s">
        <v>108</v>
      </c>
      <c r="E14" s="58" t="s">
        <v>92</v>
      </c>
      <c r="F14" s="58" t="s">
        <v>12</v>
      </c>
      <c r="G14" s="58" t="s">
        <v>89</v>
      </c>
    </row>
  </sheetData>
  <mergeCells>
    <mergeCell ref="A1:G1"/>
  </mergeCells>
  <dataValidations count="2"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E5:E14">
      <formula1>"L,P"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G5:G14">
      <formula1>"aktif,nonaktif,lulus"</formula1>
    </dataValidation>
  </dataValidations>
  <printOptions gridLines="false" gridLinesSet="true"/>
  <pageMargins left="0.4" right="0.4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&amp;L&amp;BDATA SISWA&amp;R&amp;D &amp;T</oddHeader>
    <oddFooter>&amp;L&amp;"Calibri,Regular"&amp;8SIABSoal - SMPN 2 Tasikmalaya&amp;C&amp;P / &amp;N&amp;R&amp;"Calibri,Regular"&amp;8Dicetak: &amp;D</oddFooter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2196F3"/>
    <outlinePr summaryBelow="1" summaryRight="1"/>
  </sheetPr>
  <dimension ref="A1:E8"/>
  <sheetViews>
    <sheetView tabSelected="0" workbookViewId="0" showGridLines="false" showRowColHeaders="1">
      <pane ySplit="4" topLeftCell="A5" activePane="bottomLeft" state="frozen"/>
      <selection pane="bottomLeft" activeCell="D5" sqref="D5:E8"/>
    </sheetView>
  </sheetViews>
  <sheetFormatPr defaultRowHeight="14.4" outlineLevelRow="0" outlineLevelCol="0"/>
  <cols>
    <col min="1" max="1" width="14" customWidth="true" style="0"/>
    <col min="2" max="2" width="46" customWidth="true" style="0"/>
    <col min="3" max="3" width="30" customWidth="true" style="0"/>
    <col min="4" max="4" width="12" customWidth="true" style="0"/>
    <col min="5" max="5" width="22" customWidth="true" style="0"/>
  </cols>
  <sheetData>
    <row r="1" spans="1:5" customHeight="1" ht="32">
      <c r="A1" s="15" t="s">
        <v>109</v>
      </c>
      <c r="B1" s="15"/>
      <c r="C1" s="15"/>
      <c r="D1" s="15"/>
      <c r="E1" s="15"/>
    </row>
    <row r="4" spans="1:5">
      <c r="A4" s="57" t="s">
        <v>110</v>
      </c>
      <c r="B4" s="57" t="s">
        <v>111</v>
      </c>
      <c r="C4" s="57" t="s">
        <v>112</v>
      </c>
      <c r="D4" s="57" t="s">
        <v>113</v>
      </c>
      <c r="E4" s="57" t="s">
        <v>114</v>
      </c>
    </row>
    <row r="5" spans="1:5" customHeight="1" ht="42">
      <c r="A5" s="58" t="s">
        <v>58</v>
      </c>
      <c r="B5" s="52" t="s">
        <v>52</v>
      </c>
      <c r="C5" s="52" t="s">
        <v>50</v>
      </c>
      <c r="D5" s="58">
        <v>75</v>
      </c>
      <c r="E5" s="58" t="s">
        <v>59</v>
      </c>
    </row>
    <row r="6" spans="1:5" customHeight="1" ht="42">
      <c r="A6" s="58" t="s">
        <v>60</v>
      </c>
      <c r="B6" s="52"/>
      <c r="C6" s="52"/>
      <c r="D6" s="58">
        <v>75</v>
      </c>
      <c r="E6" s="58"/>
    </row>
    <row r="7" spans="1:5" customHeight="1" ht="42">
      <c r="A7" s="58" t="s">
        <v>62</v>
      </c>
      <c r="B7" s="52"/>
      <c r="C7" s="52"/>
      <c r="D7" s="58">
        <v>75</v>
      </c>
      <c r="E7" s="58"/>
    </row>
    <row r="8" spans="1:5" customHeight="1" ht="42">
      <c r="A8" s="58" t="s">
        <v>64</v>
      </c>
      <c r="B8" s="52"/>
      <c r="C8" s="52"/>
      <c r="D8" s="58">
        <v>75</v>
      </c>
      <c r="E8" s="58"/>
    </row>
  </sheetData>
  <mergeCells>
    <mergeCell ref="A1:E1"/>
  </mergeCells>
  <dataValidations count="1">
    <dataValidation type="whole" errorStyle="stop" operator="between" allowBlank="1" showDropDown="1" showInputMessage="1" showErrorMessage="1" errorTitle="Input Tidak Valid" error="Isi angka antara 0 sampai 100." promptTitle="Input Angka" prompt="Isi angka antara 0 sampai 100." sqref="D5:D8">
      <formula1>0</formula1>
      <formula2>100</formula2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>&amp;L&amp;BTP / LM / KKTP&amp;R&amp;D &amp;T</oddHeader>
    <oddFooter>&amp;L&amp;"Calibri,Regular"&amp;8SIABSoal - SMPN 2 Tasikmalaya&amp;C&amp;P / &amp;N&amp;R&amp;"Calibri,Regular"&amp;8Dicetak: &amp;D</oddFooter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4CAF50"/>
    <outlinePr summaryBelow="1" summaryRight="1"/>
    <pageSetUpPr fitToPage="1"/>
  </sheetPr>
  <dimension ref="A1:H16"/>
  <sheetViews>
    <sheetView tabSelected="0" workbookViewId="0" showGridLines="true" showRowColHeaders="1">
      <selection activeCell="A16" sqref="A16:H16"/>
    </sheetView>
  </sheetViews>
  <sheetFormatPr defaultRowHeight="14.4" outlineLevelRow="0" outlineLevelCol="0"/>
  <cols>
    <col min="1" max="1" width="6" customWidth="true" style="0"/>
    <col min="2" max="2" width="15" customWidth="true" style="0"/>
    <col min="3" max="3" width="18" customWidth="true" style="0"/>
    <col min="4" max="4" width="35" customWidth="true" style="0"/>
    <col min="5" max="5" width="8" customWidth="true" style="0"/>
    <col min="6" max="6" width="12" customWidth="true" style="0"/>
    <col min="7" max="7" width="20" customWidth="true" style="0"/>
    <col min="8" max="8" width="25" customWidth="true" style="0"/>
  </cols>
  <sheetData>
    <row r="1" spans="1:8" customHeight="1" ht="32">
      <c r="A1" s="15" t="s">
        <v>115</v>
      </c>
      <c r="B1" s="15"/>
      <c r="C1" s="15"/>
      <c r="D1" s="15"/>
      <c r="E1" s="15"/>
      <c r="F1" s="15"/>
      <c r="G1" s="15"/>
      <c r="H1" s="15"/>
    </row>
    <row r="3" spans="1:8">
      <c r="A3" s="6" t="s">
        <v>116</v>
      </c>
      <c r="B3" t="s">
        <v>41</v>
      </c>
      <c r="E3" s="6" t="s">
        <v>117</v>
      </c>
      <c r="F3" t="s">
        <v>12</v>
      </c>
    </row>
    <row r="4" spans="1:8">
      <c r="A4" s="6" t="s">
        <v>118</v>
      </c>
      <c r="B4" t="s">
        <v>10</v>
      </c>
      <c r="E4" s="6" t="s">
        <v>119</v>
      </c>
      <c r="F4" t="s">
        <v>45</v>
      </c>
    </row>
    <row r="6" spans="1:8" customHeight="1" ht="25">
      <c r="A6" s="57" t="s">
        <v>120</v>
      </c>
      <c r="B6" s="57" t="s">
        <v>121</v>
      </c>
      <c r="C6" s="57" t="s">
        <v>122</v>
      </c>
      <c r="D6" s="57" t="s">
        <v>123</v>
      </c>
      <c r="E6" s="57" t="s">
        <v>124</v>
      </c>
      <c r="F6" s="57" t="s">
        <v>11</v>
      </c>
      <c r="G6" s="57" t="s">
        <v>125</v>
      </c>
      <c r="H6" s="57" t="s">
        <v>126</v>
      </c>
    </row>
    <row r="7" spans="1:8" customHeight="1" ht="24">
      <c r="A7" s="55">
        <v>1</v>
      </c>
      <c r="B7" s="55">
        <v>2501</v>
      </c>
      <c r="C7" s="55" t="s">
        <v>86</v>
      </c>
      <c r="D7" s="9" t="s">
        <v>87</v>
      </c>
      <c r="E7" s="55" t="s">
        <v>88</v>
      </c>
      <c r="F7" s="55" t="s">
        <v>12</v>
      </c>
      <c r="G7" s="55" t="s">
        <v>127</v>
      </c>
      <c r="H7" s="9"/>
    </row>
    <row r="8" spans="1:8" customHeight="1" ht="24">
      <c r="A8" s="55">
        <v>2</v>
      </c>
      <c r="B8" s="55">
        <v>2502</v>
      </c>
      <c r="C8" s="55" t="s">
        <v>90</v>
      </c>
      <c r="D8" s="9" t="s">
        <v>91</v>
      </c>
      <c r="E8" s="55" t="s">
        <v>92</v>
      </c>
      <c r="F8" s="55" t="s">
        <v>12</v>
      </c>
      <c r="G8" s="55" t="s">
        <v>127</v>
      </c>
      <c r="H8" s="9"/>
    </row>
    <row r="9" spans="1:8" customHeight="1" ht="24">
      <c r="A9" s="55">
        <v>3</v>
      </c>
      <c r="B9" s="55">
        <v>2503</v>
      </c>
      <c r="C9" s="55" t="s">
        <v>93</v>
      </c>
      <c r="D9" s="9" t="s">
        <v>94</v>
      </c>
      <c r="E9" s="55" t="s">
        <v>88</v>
      </c>
      <c r="F9" s="55" t="s">
        <v>12</v>
      </c>
      <c r="G9" s="55" t="s">
        <v>127</v>
      </c>
      <c r="H9" s="9"/>
    </row>
    <row r="10" spans="1:8" customHeight="1" ht="24">
      <c r="A10" s="55">
        <v>4</v>
      </c>
      <c r="B10" s="55">
        <v>2504</v>
      </c>
      <c r="C10" s="55" t="s">
        <v>95</v>
      </c>
      <c r="D10" s="9" t="s">
        <v>96</v>
      </c>
      <c r="E10" s="55" t="s">
        <v>92</v>
      </c>
      <c r="F10" s="55" t="s">
        <v>12</v>
      </c>
      <c r="G10" s="55" t="s">
        <v>127</v>
      </c>
      <c r="H10" s="9"/>
    </row>
    <row r="11" spans="1:8" customHeight="1" ht="24">
      <c r="A11" s="55">
        <v>5</v>
      </c>
      <c r="B11" s="55">
        <v>2505</v>
      </c>
      <c r="C11" s="55" t="s">
        <v>97</v>
      </c>
      <c r="D11" s="9" t="s">
        <v>98</v>
      </c>
      <c r="E11" s="55" t="s">
        <v>88</v>
      </c>
      <c r="F11" s="55" t="s">
        <v>12</v>
      </c>
      <c r="G11" s="55" t="s">
        <v>127</v>
      </c>
      <c r="H11" s="9"/>
    </row>
    <row r="12" spans="1:8" customHeight="1" ht="24">
      <c r="A12" s="55">
        <v>6</v>
      </c>
      <c r="B12" s="55">
        <v>2506</v>
      </c>
      <c r="C12" s="55" t="s">
        <v>99</v>
      </c>
      <c r="D12" s="9" t="s">
        <v>100</v>
      </c>
      <c r="E12" s="55" t="s">
        <v>92</v>
      </c>
      <c r="F12" s="55" t="s">
        <v>12</v>
      </c>
      <c r="G12" s="55" t="s">
        <v>127</v>
      </c>
      <c r="H12" s="9"/>
    </row>
    <row r="13" spans="1:8" customHeight="1" ht="24">
      <c r="A13" s="55">
        <v>7</v>
      </c>
      <c r="B13" s="55">
        <v>2507</v>
      </c>
      <c r="C13" s="55" t="s">
        <v>101</v>
      </c>
      <c r="D13" s="9" t="s">
        <v>102</v>
      </c>
      <c r="E13" s="55" t="s">
        <v>88</v>
      </c>
      <c r="F13" s="55" t="s">
        <v>12</v>
      </c>
      <c r="G13" s="55" t="s">
        <v>127</v>
      </c>
      <c r="H13" s="9"/>
    </row>
    <row r="14" spans="1:8" customHeight="1" ht="24">
      <c r="A14" s="55">
        <v>8</v>
      </c>
      <c r="B14" s="55">
        <v>2508</v>
      </c>
      <c r="C14" s="55" t="s">
        <v>103</v>
      </c>
      <c r="D14" s="9" t="s">
        <v>104</v>
      </c>
      <c r="E14" s="55" t="s">
        <v>92</v>
      </c>
      <c r="F14" s="55" t="s">
        <v>12</v>
      </c>
      <c r="G14" s="55" t="s">
        <v>127</v>
      </c>
      <c r="H14" s="9"/>
    </row>
    <row r="15" spans="1:8" customHeight="1" ht="24">
      <c r="A15" s="55">
        <v>9</v>
      </c>
      <c r="B15" s="55">
        <v>2509</v>
      </c>
      <c r="C15" s="55" t="s">
        <v>105</v>
      </c>
      <c r="D15" s="9" t="s">
        <v>106</v>
      </c>
      <c r="E15" s="55" t="s">
        <v>88</v>
      </c>
      <c r="F15" s="55" t="s">
        <v>12</v>
      </c>
      <c r="G15" s="55" t="s">
        <v>127</v>
      </c>
      <c r="H15" s="9"/>
    </row>
    <row r="16" spans="1:8" customHeight="1" ht="24">
      <c r="A16" s="55">
        <v>10</v>
      </c>
      <c r="B16" s="55">
        <v>2510</v>
      </c>
      <c r="C16" s="55" t="s">
        <v>107</v>
      </c>
      <c r="D16" s="9" t="s">
        <v>108</v>
      </c>
      <c r="E16" s="55" t="s">
        <v>92</v>
      </c>
      <c r="F16" s="55" t="s">
        <v>12</v>
      </c>
      <c r="G16" s="55" t="s">
        <v>127</v>
      </c>
      <c r="H16" s="9"/>
    </row>
  </sheetData>
  <mergeCells>
    <mergeCell ref="A1:H1"/>
  </mergeCells>
  <dataValidations count="1"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G7:G16">
      <formula1>"hadir,tidak_hadir,izin,sakit,alfa"</formula1>
    </dataValidation>
  </dataValidations>
  <printOptions gridLines="false" gridLinesSet="true"/>
  <pageMargins left="0.4" right="0.4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&amp;L&amp;BDAFTAR HADIR&amp;R&amp;D &amp;T</oddHeader>
    <oddFooter>&amp;L&amp;"Calibri,Regular"&amp;8SIABSoal - SMPN 2 Tasikmalaya&amp;C&amp;P / &amp;N&amp;R&amp;"Calibri,Regular"&amp;8Dicetak: &amp;D</oddFooter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2196F3"/>
    <outlinePr summaryBelow="1" summaryRight="1"/>
    <pageSetUpPr fitToPage="1"/>
  </sheetPr>
  <dimension ref="A1:E26"/>
  <sheetViews>
    <sheetView tabSelected="0" workbookViewId="0" showGridLines="true" showRowColHeaders="1">
      <selection activeCell="B26" sqref="B26:E26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18" customWidth="true" style="0"/>
    <col min="5" max="5" width="12" customWidth="true" style="0"/>
  </cols>
  <sheetData>
    <row r="1" spans="1:5" customHeight="1" ht="32">
      <c r="A1" s="15" t="s">
        <v>128</v>
      </c>
      <c r="B1" s="15"/>
      <c r="C1" s="15"/>
      <c r="D1" s="15"/>
      <c r="E1" s="15"/>
    </row>
    <row r="3" spans="1:5">
      <c r="A3" s="6" t="s">
        <v>116</v>
      </c>
      <c r="B3" t="s">
        <v>41</v>
      </c>
      <c r="D3" s="6" t="s">
        <v>117</v>
      </c>
      <c r="E3" t="s">
        <v>12</v>
      </c>
    </row>
    <row r="4" spans="1:5">
      <c r="A4" s="6" t="s">
        <v>129</v>
      </c>
      <c r="B4" t="s">
        <v>8</v>
      </c>
      <c r="D4" s="6" t="s">
        <v>130</v>
      </c>
      <c r="E4">
        <v>75.0</v>
      </c>
    </row>
    <row r="6" spans="1:5" customHeight="1" ht="25">
      <c r="A6" s="57" t="s">
        <v>131</v>
      </c>
      <c r="B6" s="57" t="s">
        <v>110</v>
      </c>
      <c r="C6" s="57" t="s">
        <v>112</v>
      </c>
      <c r="D6" s="57" t="s">
        <v>132</v>
      </c>
      <c r="E6" s="57" t="s">
        <v>133</v>
      </c>
    </row>
    <row r="7" spans="1:5" customHeight="1" ht="24">
      <c r="A7" s="55">
        <v>1</v>
      </c>
      <c r="B7" s="58" t="s">
        <v>58</v>
      </c>
      <c r="C7" s="52" t="s">
        <v>50</v>
      </c>
      <c r="D7" s="58" t="s">
        <v>134</v>
      </c>
      <c r="E7" s="58">
        <v>1.0</v>
      </c>
    </row>
    <row r="8" spans="1:5" customHeight="1" ht="24">
      <c r="A8" s="55">
        <v>2</v>
      </c>
      <c r="B8" s="58" t="s">
        <v>58</v>
      </c>
      <c r="C8" s="52" t="s">
        <v>50</v>
      </c>
      <c r="D8" s="58" t="s">
        <v>135</v>
      </c>
      <c r="E8" s="58">
        <v>1.0</v>
      </c>
    </row>
    <row r="9" spans="1:5" customHeight="1" ht="24">
      <c r="A9" s="55">
        <v>3</v>
      </c>
      <c r="B9" s="58" t="s">
        <v>58</v>
      </c>
      <c r="C9" s="52" t="s">
        <v>50</v>
      </c>
      <c r="D9" s="58" t="s">
        <v>136</v>
      </c>
      <c r="E9" s="58">
        <v>1.0</v>
      </c>
    </row>
    <row r="10" spans="1:5" customHeight="1" ht="24">
      <c r="A10" s="55">
        <v>4</v>
      </c>
      <c r="B10" s="58" t="s">
        <v>58</v>
      </c>
      <c r="C10" s="52" t="s">
        <v>50</v>
      </c>
      <c r="D10" s="58" t="s">
        <v>137</v>
      </c>
      <c r="E10" s="58">
        <v>1.0</v>
      </c>
    </row>
    <row r="11" spans="1:5" customHeight="1" ht="24">
      <c r="A11" s="55">
        <v>5</v>
      </c>
      <c r="B11" s="58" t="s">
        <v>58</v>
      </c>
      <c r="C11" s="52" t="s">
        <v>50</v>
      </c>
      <c r="D11" s="58" t="s">
        <v>134</v>
      </c>
      <c r="E11" s="58">
        <v>1.0</v>
      </c>
    </row>
    <row r="12" spans="1:5" customHeight="1" ht="24">
      <c r="A12" s="55">
        <v>6</v>
      </c>
      <c r="B12" s="58" t="s">
        <v>58</v>
      </c>
      <c r="C12" s="52" t="s">
        <v>50</v>
      </c>
      <c r="D12" s="58" t="s">
        <v>136</v>
      </c>
      <c r="E12" s="58">
        <v>1.0</v>
      </c>
    </row>
    <row r="13" spans="1:5" customHeight="1" ht="24">
      <c r="A13" s="55">
        <v>7</v>
      </c>
      <c r="B13" s="58" t="s">
        <v>58</v>
      </c>
      <c r="C13" s="52" t="s">
        <v>50</v>
      </c>
      <c r="D13" s="58" t="s">
        <v>135</v>
      </c>
      <c r="E13" s="58">
        <v>1.0</v>
      </c>
    </row>
    <row r="14" spans="1:5" customHeight="1" ht="24">
      <c r="A14" s="55">
        <v>8</v>
      </c>
      <c r="B14" s="58" t="s">
        <v>58</v>
      </c>
      <c r="C14" s="52" t="s">
        <v>50</v>
      </c>
      <c r="D14" s="58" t="s">
        <v>134</v>
      </c>
      <c r="E14" s="58">
        <v>1.0</v>
      </c>
    </row>
    <row r="15" spans="1:5" customHeight="1" ht="24">
      <c r="A15" s="55">
        <v>9</v>
      </c>
      <c r="B15" s="58" t="s">
        <v>58</v>
      </c>
      <c r="C15" s="52" t="s">
        <v>50</v>
      </c>
      <c r="D15" s="58" t="s">
        <v>137</v>
      </c>
      <c r="E15" s="58">
        <v>1.0</v>
      </c>
    </row>
    <row r="16" spans="1:5" customHeight="1" ht="24">
      <c r="A16" s="55">
        <v>10</v>
      </c>
      <c r="B16" s="58" t="s">
        <v>58</v>
      </c>
      <c r="C16" s="52" t="s">
        <v>50</v>
      </c>
      <c r="D16" s="58" t="s">
        <v>136</v>
      </c>
      <c r="E16" s="58">
        <v>1.0</v>
      </c>
    </row>
    <row r="17" spans="1:5" customHeight="1" ht="24">
      <c r="A17" s="55">
        <v>11</v>
      </c>
      <c r="B17" s="58" t="s">
        <v>58</v>
      </c>
      <c r="C17" s="52" t="s">
        <v>50</v>
      </c>
      <c r="D17" s="58" t="s">
        <v>134</v>
      </c>
      <c r="E17" s="58">
        <v>1.0</v>
      </c>
    </row>
    <row r="18" spans="1:5" customHeight="1" ht="24">
      <c r="A18" s="55">
        <v>12</v>
      </c>
      <c r="B18" s="58" t="s">
        <v>58</v>
      </c>
      <c r="C18" s="52" t="s">
        <v>50</v>
      </c>
      <c r="D18" s="58" t="s">
        <v>135</v>
      </c>
      <c r="E18" s="58">
        <v>1.0</v>
      </c>
    </row>
    <row r="19" spans="1:5" customHeight="1" ht="24">
      <c r="A19" s="55">
        <v>13</v>
      </c>
      <c r="B19" s="58" t="s">
        <v>58</v>
      </c>
      <c r="C19" s="52" t="s">
        <v>50</v>
      </c>
      <c r="D19" s="58" t="s">
        <v>137</v>
      </c>
      <c r="E19" s="58">
        <v>1.0</v>
      </c>
    </row>
    <row r="20" spans="1:5" customHeight="1" ht="24">
      <c r="A20" s="55">
        <v>14</v>
      </c>
      <c r="B20" s="58" t="s">
        <v>58</v>
      </c>
      <c r="C20" s="52" t="s">
        <v>50</v>
      </c>
      <c r="D20" s="58" t="s">
        <v>136</v>
      </c>
      <c r="E20" s="58">
        <v>1.0</v>
      </c>
    </row>
    <row r="21" spans="1:5" customHeight="1" ht="24">
      <c r="A21" s="55">
        <v>15</v>
      </c>
      <c r="B21" s="58" t="s">
        <v>58</v>
      </c>
      <c r="C21" s="52" t="s">
        <v>50</v>
      </c>
      <c r="D21" s="58" t="s">
        <v>134</v>
      </c>
      <c r="E21" s="58">
        <v>1.0</v>
      </c>
    </row>
    <row r="22" spans="1:5" customHeight="1" ht="24">
      <c r="A22" s="55">
        <v>16</v>
      </c>
      <c r="B22" s="58" t="s">
        <v>58</v>
      </c>
      <c r="C22" s="52" t="s">
        <v>50</v>
      </c>
      <c r="D22" s="58" t="s">
        <v>135</v>
      </c>
      <c r="E22" s="58">
        <v>1.0</v>
      </c>
    </row>
    <row r="23" spans="1:5" customHeight="1" ht="24">
      <c r="A23" s="55">
        <v>17</v>
      </c>
      <c r="B23" s="58" t="s">
        <v>58</v>
      </c>
      <c r="C23" s="52" t="s">
        <v>50</v>
      </c>
      <c r="D23" s="58" t="s">
        <v>136</v>
      </c>
      <c r="E23" s="58">
        <v>1.0</v>
      </c>
    </row>
    <row r="24" spans="1:5" customHeight="1" ht="24">
      <c r="A24" s="55">
        <v>18</v>
      </c>
      <c r="B24" s="58" t="s">
        <v>58</v>
      </c>
      <c r="C24" s="52" t="s">
        <v>50</v>
      </c>
      <c r="D24" s="58" t="s">
        <v>137</v>
      </c>
      <c r="E24" s="58">
        <v>1.0</v>
      </c>
    </row>
    <row r="25" spans="1:5" customHeight="1" ht="24">
      <c r="A25" s="55">
        <v>19</v>
      </c>
      <c r="B25" s="58" t="s">
        <v>58</v>
      </c>
      <c r="C25" s="52" t="s">
        <v>50</v>
      </c>
      <c r="D25" s="58" t="s">
        <v>134</v>
      </c>
      <c r="E25" s="58">
        <v>1.0</v>
      </c>
    </row>
    <row r="26" spans="1:5" customHeight="1" ht="24">
      <c r="A26" s="55">
        <v>20</v>
      </c>
      <c r="B26" s="58" t="s">
        <v>58</v>
      </c>
      <c r="C26" s="52" t="s">
        <v>50</v>
      </c>
      <c r="D26" s="58" t="s">
        <v>135</v>
      </c>
      <c r="E26" s="58">
        <v>1.0</v>
      </c>
    </row>
  </sheetData>
  <mergeCells>
    <mergeCell ref="A1:E1"/>
  </mergeCells>
  <dataValidations count="2"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B7:B26">
      <formula1>"TP 1,TP 2,TP 3,TP 4"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D7:D26">
      <formula1>"A,B,C,D,E"</formula1>
    </dataValidation>
  </dataValidations>
  <printOptions gridLines="false" gridLinesSet="true"/>
  <pageMargins left="0.4" right="0.4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&amp;L&amp;BKUNCI JAWABAN&amp;R&amp;D &amp;T</oddHeader>
    <oddFooter>&amp;L&amp;"Calibri,Regular"&amp;8SIABSoal - SMPN 2 Tasikmalaya&amp;C&amp;P / &amp;N&amp;R&amp;"Calibri,Regular"&amp;8Dicetak: &amp;D</oddFooter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9800"/>
    <outlinePr summaryBelow="1" summaryRight="1"/>
    <pageSetUpPr fitToPage="1"/>
  </sheetPr>
  <dimension ref="A1:AB16"/>
  <sheetViews>
    <sheetView tabSelected="0" workbookViewId="0" showGridLines="true" showRowColHeaders="1">
      <pane xSplit="6" ySplit="6" topLeftCell="G7" activePane="bottomRight" state="frozen"/>
      <selection pane="topRight"/>
      <selection pane="bottomLeft"/>
      <selection pane="bottomRight" activeCell="A16" sqref="A16:F16"/>
    </sheetView>
  </sheetViews>
  <sheetFormatPr defaultRowHeight="14.4" outlineLevelRow="0" outlineLevelCol="0"/>
  <cols>
    <col min="1" max="1" width="6" customWidth="true" style="0"/>
    <col min="2" max="2" width="15" customWidth="true" style="0"/>
    <col min="3" max="3" width="18" customWidth="true" style="0"/>
    <col min="4" max="4" width="30" customWidth="true" style="0"/>
    <col min="5" max="5" width="8" customWidth="true" style="0"/>
    <col min="6" max="6" width="18" customWidth="true" style="0"/>
    <col min="7" max="7" width="9" customWidth="true" style="0"/>
    <col min="8" max="8" width="9" customWidth="true" style="0"/>
    <col min="9" max="9" width="9" customWidth="true" style="0"/>
    <col min="10" max="10" width="9" customWidth="true" style="0"/>
    <col min="11" max="11" width="9" customWidth="true" style="0"/>
    <col min="12" max="12" width="9" customWidth="true" style="0"/>
    <col min="13" max="13" width="9" customWidth="true" style="0"/>
    <col min="14" max="14" width="9" customWidth="true" style="0"/>
    <col min="15" max="15" width="9" customWidth="true" style="0"/>
    <col min="16" max="16" width="9" customWidth="true" style="0"/>
    <col min="17" max="17" width="9" customWidth="true" style="0"/>
    <col min="18" max="18" width="9" customWidth="true" style="0"/>
    <col min="19" max="19" width="9" customWidth="true" style="0"/>
    <col min="20" max="20" width="9" customWidth="true" style="0"/>
    <col min="21" max="21" width="9" customWidth="true" style="0"/>
    <col min="22" max="22" width="9" customWidth="true" style="0"/>
    <col min="23" max="23" width="9" customWidth="true" style="0"/>
    <col min="24" max="24" width="9" customWidth="true" style="0"/>
    <col min="25" max="25" width="9" customWidth="true" style="0"/>
    <col min="26" max="26" width="9" customWidth="true" style="0"/>
    <col min="27" max="27" width="15" customWidth="true" style="0"/>
    <col min="28" max="28" width="20" customWidth="true" style="0"/>
  </cols>
  <sheetData>
    <row r="1" spans="1:28" customHeight="1" ht="32">
      <c r="A1" s="15" t="s">
        <v>138</v>
      </c>
      <c r="B1" s="15"/>
      <c r="C1" s="15"/>
      <c r="D1" s="15"/>
      <c r="E1" s="15"/>
      <c r="F1" s="15"/>
      <c r="G1" s="15"/>
    </row>
    <row r="3" spans="1:28">
      <c r="A3" s="6" t="s">
        <v>116</v>
      </c>
      <c r="B3" t="s">
        <v>41</v>
      </c>
      <c r="D3" s="6" t="s">
        <v>117</v>
      </c>
      <c r="E3" t="s">
        <v>12</v>
      </c>
    </row>
    <row r="4" spans="1:28">
      <c r="A4" s="6" t="s">
        <v>129</v>
      </c>
      <c r="B4" t="s">
        <v>8</v>
      </c>
      <c r="D4" s="6" t="s">
        <v>139</v>
      </c>
      <c r="E4">
        <v>20</v>
      </c>
    </row>
    <row r="6" spans="1:28" customHeight="1" ht="28">
      <c r="A6" s="57" t="s">
        <v>79</v>
      </c>
      <c r="B6" s="57" t="s">
        <v>80</v>
      </c>
      <c r="C6" s="57" t="s">
        <v>81</v>
      </c>
      <c r="D6" s="57" t="s">
        <v>82</v>
      </c>
      <c r="E6" s="57" t="s">
        <v>83</v>
      </c>
      <c r="F6" s="57" t="s">
        <v>140</v>
      </c>
      <c r="G6" s="57" t="s">
        <v>141</v>
      </c>
      <c r="H6" s="57" t="s">
        <v>142</v>
      </c>
      <c r="I6" s="57" t="s">
        <v>143</v>
      </c>
      <c r="J6" s="57" t="s">
        <v>144</v>
      </c>
      <c r="K6" s="57" t="s">
        <v>145</v>
      </c>
      <c r="L6" s="57" t="s">
        <v>146</v>
      </c>
      <c r="M6" s="57" t="s">
        <v>147</v>
      </c>
      <c r="N6" s="57" t="s">
        <v>148</v>
      </c>
      <c r="O6" s="57" t="s">
        <v>149</v>
      </c>
      <c r="P6" s="57" t="s">
        <v>150</v>
      </c>
      <c r="Q6" s="57" t="s">
        <v>151</v>
      </c>
      <c r="R6" s="57" t="s">
        <v>152</v>
      </c>
      <c r="S6" s="57" t="s">
        <v>153</v>
      </c>
      <c r="T6" s="57" t="s">
        <v>154</v>
      </c>
      <c r="U6" s="57" t="s">
        <v>155</v>
      </c>
      <c r="V6" s="57" t="s">
        <v>156</v>
      </c>
      <c r="W6" s="57" t="s">
        <v>157</v>
      </c>
      <c r="X6" s="57" t="s">
        <v>158</v>
      </c>
      <c r="Y6" s="57" t="s">
        <v>159</v>
      </c>
      <c r="Z6" s="57" t="s">
        <v>160</v>
      </c>
      <c r="AA6" s="57" t="s">
        <v>161</v>
      </c>
      <c r="AB6" s="57" t="s">
        <v>162</v>
      </c>
    </row>
    <row r="7" spans="1:28" customHeight="1" ht="24">
      <c r="A7" s="60">
        <v>1</v>
      </c>
      <c r="B7" s="60">
        <v>2501</v>
      </c>
      <c r="C7" s="60" t="s">
        <v>86</v>
      </c>
      <c r="D7" s="61" t="s">
        <v>87</v>
      </c>
      <c r="E7" s="60" t="s">
        <v>88</v>
      </c>
      <c r="F7" s="60" t="s">
        <v>127</v>
      </c>
      <c r="G7" s="59" t="s">
        <v>134</v>
      </c>
      <c r="H7" s="59" t="s">
        <v>135</v>
      </c>
      <c r="I7" s="59" t="s">
        <v>136</v>
      </c>
      <c r="J7" s="59" t="s">
        <v>137</v>
      </c>
      <c r="K7" s="59" t="s">
        <v>134</v>
      </c>
      <c r="L7" s="59" t="s">
        <v>136</v>
      </c>
      <c r="M7" s="59" t="s">
        <v>135</v>
      </c>
      <c r="N7" s="59" t="s">
        <v>134</v>
      </c>
      <c r="O7" s="59" t="s">
        <v>137</v>
      </c>
      <c r="P7" s="59" t="s">
        <v>136</v>
      </c>
      <c r="Q7" s="59" t="s">
        <v>134</v>
      </c>
      <c r="R7" s="59" t="s">
        <v>135</v>
      </c>
      <c r="S7" s="59" t="s">
        <v>137</v>
      </c>
      <c r="T7" s="59" t="s">
        <v>136</v>
      </c>
      <c r="U7" s="59" t="s">
        <v>134</v>
      </c>
      <c r="V7" s="59" t="s">
        <v>135</v>
      </c>
      <c r="W7" s="59" t="s">
        <v>136</v>
      </c>
      <c r="X7" s="59" t="s">
        <v>137</v>
      </c>
      <c r="Y7" s="59" t="s">
        <v>134</v>
      </c>
      <c r="Z7" s="59" t="s">
        <v>135</v>
      </c>
      <c r="AA7" s="55" t="str">
        <f>COUNTA(G7:Z7)</f>
        <v>0</v>
      </c>
      <c r="AB7" s="55" t="str">
        <f>IF(F7="tidak_hadir","TIDAK HADIR",IF(AA7=20,"LENGKAP","BELUM LENGKAP"))</f>
        <v>0</v>
      </c>
    </row>
    <row r="8" spans="1:28" customHeight="1" ht="24">
      <c r="A8" s="56">
        <v>2</v>
      </c>
      <c r="B8" s="56">
        <v>2502</v>
      </c>
      <c r="C8" s="56" t="s">
        <v>90</v>
      </c>
      <c r="D8" s="12" t="s">
        <v>91</v>
      </c>
      <c r="E8" s="56" t="s">
        <v>92</v>
      </c>
      <c r="F8" s="56" t="s">
        <v>127</v>
      </c>
      <c r="G8" s="59" t="s">
        <v>134</v>
      </c>
      <c r="H8" s="59" t="s">
        <v>135</v>
      </c>
      <c r="I8" s="59" t="s">
        <v>136</v>
      </c>
      <c r="J8" s="59" t="s">
        <v>137</v>
      </c>
      <c r="K8" s="59" t="s">
        <v>134</v>
      </c>
      <c r="L8" s="59" t="s">
        <v>136</v>
      </c>
      <c r="M8" s="59" t="s">
        <v>135</v>
      </c>
      <c r="N8" s="59" t="s">
        <v>134</v>
      </c>
      <c r="O8" s="59" t="s">
        <v>137</v>
      </c>
      <c r="P8" s="59" t="s">
        <v>136</v>
      </c>
      <c r="Q8" s="59" t="s">
        <v>134</v>
      </c>
      <c r="R8" s="59" t="s">
        <v>135</v>
      </c>
      <c r="S8" s="59" t="s">
        <v>137</v>
      </c>
      <c r="T8" s="59" t="s">
        <v>136</v>
      </c>
      <c r="U8" s="59" t="s">
        <v>134</v>
      </c>
      <c r="V8" s="59" t="s">
        <v>135</v>
      </c>
      <c r="W8" s="59" t="s">
        <v>136</v>
      </c>
      <c r="X8" s="59" t="s">
        <v>137</v>
      </c>
      <c r="Y8" s="59" t="s">
        <v>134</v>
      </c>
      <c r="Z8" s="59" t="s">
        <v>134</v>
      </c>
      <c r="AA8" s="55" t="str">
        <f>COUNTA(G8:Z8)</f>
        <v>0</v>
      </c>
      <c r="AB8" s="55" t="str">
        <f>IF(F8="tidak_hadir","TIDAK HADIR",IF(AA8=20,"LENGKAP","BELUM LENGKAP"))</f>
        <v>0</v>
      </c>
    </row>
    <row r="9" spans="1:28" customHeight="1" ht="24">
      <c r="A9" s="60">
        <v>3</v>
      </c>
      <c r="B9" s="60">
        <v>2503</v>
      </c>
      <c r="C9" s="60" t="s">
        <v>93</v>
      </c>
      <c r="D9" s="61" t="s">
        <v>94</v>
      </c>
      <c r="E9" s="60" t="s">
        <v>88</v>
      </c>
      <c r="F9" s="60" t="s">
        <v>127</v>
      </c>
      <c r="G9" s="59" t="s">
        <v>134</v>
      </c>
      <c r="H9" s="59" t="s">
        <v>135</v>
      </c>
      <c r="I9" s="59" t="s">
        <v>136</v>
      </c>
      <c r="J9" s="59" t="s">
        <v>137</v>
      </c>
      <c r="K9" s="59" t="s">
        <v>134</v>
      </c>
      <c r="L9" s="59" t="s">
        <v>136</v>
      </c>
      <c r="M9" s="59" t="s">
        <v>135</v>
      </c>
      <c r="N9" s="59" t="s">
        <v>134</v>
      </c>
      <c r="O9" s="59" t="s">
        <v>137</v>
      </c>
      <c r="P9" s="59" t="s">
        <v>136</v>
      </c>
      <c r="Q9" s="59" t="s">
        <v>134</v>
      </c>
      <c r="R9" s="59" t="s">
        <v>135</v>
      </c>
      <c r="S9" s="59" t="s">
        <v>137</v>
      </c>
      <c r="T9" s="59" t="s">
        <v>136</v>
      </c>
      <c r="U9" s="59" t="s">
        <v>134</v>
      </c>
      <c r="V9" s="59" t="s">
        <v>135</v>
      </c>
      <c r="W9" s="59" t="s">
        <v>136</v>
      </c>
      <c r="X9" s="59" t="s">
        <v>134</v>
      </c>
      <c r="Y9" s="59" t="s">
        <v>134</v>
      </c>
      <c r="Z9" s="59" t="s">
        <v>135</v>
      </c>
      <c r="AA9" s="55" t="str">
        <f>COUNTA(G9:Z9)</f>
        <v>0</v>
      </c>
      <c r="AB9" s="55" t="str">
        <f>IF(F9="tidak_hadir","TIDAK HADIR",IF(AA9=20,"LENGKAP","BELUM LENGKAP"))</f>
        <v>0</v>
      </c>
    </row>
    <row r="10" spans="1:28" customHeight="1" ht="24">
      <c r="A10" s="56">
        <v>4</v>
      </c>
      <c r="B10" s="56">
        <v>2504</v>
      </c>
      <c r="C10" s="56" t="s">
        <v>95</v>
      </c>
      <c r="D10" s="12" t="s">
        <v>96</v>
      </c>
      <c r="E10" s="56" t="s">
        <v>92</v>
      </c>
      <c r="F10" s="56" t="s">
        <v>127</v>
      </c>
      <c r="G10" s="59" t="s">
        <v>134</v>
      </c>
      <c r="H10" s="59" t="s">
        <v>135</v>
      </c>
      <c r="I10" s="59" t="s">
        <v>136</v>
      </c>
      <c r="J10" s="59" t="s">
        <v>137</v>
      </c>
      <c r="K10" s="59" t="s">
        <v>134</v>
      </c>
      <c r="L10" s="59" t="s">
        <v>136</v>
      </c>
      <c r="M10" s="59" t="s">
        <v>135</v>
      </c>
      <c r="N10" s="59" t="s">
        <v>134</v>
      </c>
      <c r="O10" s="59" t="s">
        <v>137</v>
      </c>
      <c r="P10" s="59" t="s">
        <v>134</v>
      </c>
      <c r="Q10" s="59" t="s">
        <v>134</v>
      </c>
      <c r="R10" s="59" t="s">
        <v>135</v>
      </c>
      <c r="S10" s="59" t="s">
        <v>137</v>
      </c>
      <c r="T10" s="59" t="s">
        <v>136</v>
      </c>
      <c r="U10" s="59" t="s">
        <v>134</v>
      </c>
      <c r="V10" s="59" t="s">
        <v>135</v>
      </c>
      <c r="W10" s="59" t="s">
        <v>134</v>
      </c>
      <c r="X10" s="59" t="s">
        <v>137</v>
      </c>
      <c r="Y10" s="59" t="s">
        <v>136</v>
      </c>
      <c r="Z10" s="59" t="s">
        <v>135</v>
      </c>
      <c r="AA10" s="55" t="str">
        <f>COUNTA(G10:Z10)</f>
        <v>0</v>
      </c>
      <c r="AB10" s="55" t="str">
        <f>IF(F10="tidak_hadir","TIDAK HADIR",IF(AA10=20,"LENGKAP","BELUM LENGKAP"))</f>
        <v>0</v>
      </c>
    </row>
    <row r="11" spans="1:28" customHeight="1" ht="24">
      <c r="A11" s="60">
        <v>5</v>
      </c>
      <c r="B11" s="60">
        <v>2505</v>
      </c>
      <c r="C11" s="60" t="s">
        <v>97</v>
      </c>
      <c r="D11" s="61" t="s">
        <v>98</v>
      </c>
      <c r="E11" s="60" t="s">
        <v>88</v>
      </c>
      <c r="F11" s="60" t="s">
        <v>127</v>
      </c>
      <c r="G11" s="59" t="s">
        <v>134</v>
      </c>
      <c r="H11" s="59" t="s">
        <v>135</v>
      </c>
      <c r="I11" s="59" t="s">
        <v>136</v>
      </c>
      <c r="J11" s="59" t="s">
        <v>137</v>
      </c>
      <c r="K11" s="59" t="s">
        <v>134</v>
      </c>
      <c r="L11" s="59" t="s">
        <v>136</v>
      </c>
      <c r="M11" s="59" t="s">
        <v>135</v>
      </c>
      <c r="N11" s="59" t="s">
        <v>134</v>
      </c>
      <c r="O11" s="59" t="s">
        <v>134</v>
      </c>
      <c r="P11" s="59" t="s">
        <v>136</v>
      </c>
      <c r="Q11" s="59" t="s">
        <v>134</v>
      </c>
      <c r="R11" s="59" t="s">
        <v>135</v>
      </c>
      <c r="S11" s="59" t="s">
        <v>134</v>
      </c>
      <c r="T11" s="59" t="s">
        <v>136</v>
      </c>
      <c r="U11" s="59" t="s">
        <v>134</v>
      </c>
      <c r="V11" s="59" t="s">
        <v>135</v>
      </c>
      <c r="W11" s="59" t="s">
        <v>134</v>
      </c>
      <c r="X11" s="59" t="s">
        <v>137</v>
      </c>
      <c r="Y11" s="59" t="s">
        <v>134</v>
      </c>
      <c r="Z11" s="59" t="s">
        <v>135</v>
      </c>
      <c r="AA11" s="55" t="str">
        <f>COUNTA(G11:Z11)</f>
        <v>0</v>
      </c>
      <c r="AB11" s="55" t="str">
        <f>IF(F11="tidak_hadir","TIDAK HADIR",IF(AA11=20,"LENGKAP","BELUM LENGKAP"))</f>
        <v>0</v>
      </c>
    </row>
    <row r="12" spans="1:28" customHeight="1" ht="24">
      <c r="A12" s="56">
        <v>6</v>
      </c>
      <c r="B12" s="56">
        <v>2506</v>
      </c>
      <c r="C12" s="56" t="s">
        <v>99</v>
      </c>
      <c r="D12" s="12" t="s">
        <v>100</v>
      </c>
      <c r="E12" s="56" t="s">
        <v>92</v>
      </c>
      <c r="F12" s="56" t="s">
        <v>127</v>
      </c>
      <c r="G12" s="59" t="s">
        <v>134</v>
      </c>
      <c r="H12" s="59" t="s">
        <v>135</v>
      </c>
      <c r="I12" s="59" t="s">
        <v>136</v>
      </c>
      <c r="J12" s="59" t="s">
        <v>137</v>
      </c>
      <c r="K12" s="59" t="s">
        <v>134</v>
      </c>
      <c r="L12" s="59" t="s">
        <v>136</v>
      </c>
      <c r="M12" s="59" t="s">
        <v>134</v>
      </c>
      <c r="N12" s="59" t="s">
        <v>134</v>
      </c>
      <c r="O12" s="59" t="s">
        <v>137</v>
      </c>
      <c r="P12" s="59" t="s">
        <v>134</v>
      </c>
      <c r="Q12" s="59" t="s">
        <v>134</v>
      </c>
      <c r="R12" s="59" t="s">
        <v>134</v>
      </c>
      <c r="S12" s="59" t="s">
        <v>137</v>
      </c>
      <c r="T12" s="59" t="s">
        <v>136</v>
      </c>
      <c r="U12" s="59" t="s">
        <v>134</v>
      </c>
      <c r="V12" s="59" t="s">
        <v>135</v>
      </c>
      <c r="W12" s="59" t="s">
        <v>134</v>
      </c>
      <c r="X12" s="59" t="s">
        <v>134</v>
      </c>
      <c r="Y12" s="59" t="s">
        <v>134</v>
      </c>
      <c r="Z12" s="59" t="s">
        <v>135</v>
      </c>
      <c r="AA12" s="55" t="str">
        <f>COUNTA(G12:Z12)</f>
        <v>0</v>
      </c>
      <c r="AB12" s="55" t="str">
        <f>IF(F12="tidak_hadir","TIDAK HADIR",IF(AA12=20,"LENGKAP","BELUM LENGKAP"))</f>
        <v>0</v>
      </c>
    </row>
    <row r="13" spans="1:28" customHeight="1" ht="24">
      <c r="A13" s="60">
        <v>7</v>
      </c>
      <c r="B13" s="60">
        <v>2507</v>
      </c>
      <c r="C13" s="60" t="s">
        <v>101</v>
      </c>
      <c r="D13" s="61" t="s">
        <v>102</v>
      </c>
      <c r="E13" s="60" t="s">
        <v>88</v>
      </c>
      <c r="F13" s="60" t="s">
        <v>127</v>
      </c>
      <c r="G13" s="59" t="s">
        <v>134</v>
      </c>
      <c r="H13" s="59" t="s">
        <v>135</v>
      </c>
      <c r="I13" s="59" t="s">
        <v>136</v>
      </c>
      <c r="J13" s="59" t="s">
        <v>134</v>
      </c>
      <c r="K13" s="59" t="s">
        <v>134</v>
      </c>
      <c r="L13" s="59" t="s">
        <v>136</v>
      </c>
      <c r="M13" s="59" t="s">
        <v>134</v>
      </c>
      <c r="N13" s="59" t="s">
        <v>134</v>
      </c>
      <c r="O13" s="59" t="s">
        <v>137</v>
      </c>
      <c r="P13" s="59" t="s">
        <v>134</v>
      </c>
      <c r="Q13" s="59" t="s">
        <v>134</v>
      </c>
      <c r="R13" s="59" t="s">
        <v>134</v>
      </c>
      <c r="S13" s="59" t="s">
        <v>137</v>
      </c>
      <c r="T13" s="59" t="s">
        <v>134</v>
      </c>
      <c r="U13" s="59" t="s">
        <v>134</v>
      </c>
      <c r="V13" s="59" t="s">
        <v>135</v>
      </c>
      <c r="W13" s="59" t="s">
        <v>134</v>
      </c>
      <c r="X13" s="59" t="s">
        <v>134</v>
      </c>
      <c r="Y13" s="59" t="s">
        <v>134</v>
      </c>
      <c r="Z13" s="59" t="s">
        <v>134</v>
      </c>
      <c r="AA13" s="55" t="str">
        <f>COUNTA(G13:Z13)</f>
        <v>0</v>
      </c>
      <c r="AB13" s="55" t="str">
        <f>IF(F13="tidak_hadir","TIDAK HADIR",IF(AA13=20,"LENGKAP","BELUM LENGKAP"))</f>
        <v>0</v>
      </c>
    </row>
    <row r="14" spans="1:28" customHeight="1" ht="24">
      <c r="A14" s="56">
        <v>8</v>
      </c>
      <c r="B14" s="56">
        <v>2508</v>
      </c>
      <c r="C14" s="56" t="s">
        <v>103</v>
      </c>
      <c r="D14" s="12" t="s">
        <v>104</v>
      </c>
      <c r="E14" s="56" t="s">
        <v>92</v>
      </c>
      <c r="F14" s="56" t="s">
        <v>127</v>
      </c>
      <c r="G14" s="59" t="s">
        <v>134</v>
      </c>
      <c r="H14" s="59" t="s">
        <v>135</v>
      </c>
      <c r="I14" s="59" t="s">
        <v>136</v>
      </c>
      <c r="J14" s="59" t="s">
        <v>134</v>
      </c>
      <c r="K14" s="59" t="s">
        <v>134</v>
      </c>
      <c r="L14" s="59" t="s">
        <v>134</v>
      </c>
      <c r="M14" s="59" t="s">
        <v>134</v>
      </c>
      <c r="N14" s="59" t="s">
        <v>134</v>
      </c>
      <c r="O14" s="59" t="s">
        <v>134</v>
      </c>
      <c r="P14" s="59" t="s">
        <v>136</v>
      </c>
      <c r="Q14" s="59" t="s">
        <v>134</v>
      </c>
      <c r="R14" s="59" t="s">
        <v>134</v>
      </c>
      <c r="S14" s="59" t="s">
        <v>134</v>
      </c>
      <c r="T14" s="59" t="s">
        <v>134</v>
      </c>
      <c r="U14" s="59" t="s">
        <v>134</v>
      </c>
      <c r="V14" s="59" t="s">
        <v>134</v>
      </c>
      <c r="W14" s="59" t="s">
        <v>134</v>
      </c>
      <c r="X14" s="59" t="s">
        <v>134</v>
      </c>
      <c r="Y14" s="59" t="s">
        <v>134</v>
      </c>
      <c r="Z14" s="59" t="s">
        <v>134</v>
      </c>
      <c r="AA14" s="55" t="str">
        <f>COUNTA(G14:Z14)</f>
        <v>0</v>
      </c>
      <c r="AB14" s="55" t="str">
        <f>IF(F14="tidak_hadir","TIDAK HADIR",IF(AA14=20,"LENGKAP","BELUM LENGKAP"))</f>
        <v>0</v>
      </c>
    </row>
    <row r="15" spans="1:28" customHeight="1" ht="24">
      <c r="A15" s="60">
        <v>9</v>
      </c>
      <c r="B15" s="60">
        <v>2509</v>
      </c>
      <c r="C15" s="60" t="s">
        <v>105</v>
      </c>
      <c r="D15" s="61" t="s">
        <v>106</v>
      </c>
      <c r="E15" s="60" t="s">
        <v>88</v>
      </c>
      <c r="F15" s="60" t="s">
        <v>127</v>
      </c>
      <c r="G15" s="59" t="s">
        <v>134</v>
      </c>
      <c r="H15" s="59" t="s">
        <v>134</v>
      </c>
      <c r="I15" s="59" t="s">
        <v>134</v>
      </c>
      <c r="J15" s="59" t="s">
        <v>134</v>
      </c>
      <c r="K15" s="59" t="s">
        <v>134</v>
      </c>
      <c r="L15" s="59" t="s">
        <v>134</v>
      </c>
      <c r="M15" s="59" t="s">
        <v>134</v>
      </c>
      <c r="N15" s="59" t="s">
        <v>134</v>
      </c>
      <c r="O15" s="59" t="s">
        <v>134</v>
      </c>
      <c r="P15" s="59" t="s">
        <v>134</v>
      </c>
      <c r="Q15" s="59" t="s">
        <v>134</v>
      </c>
      <c r="R15" s="59" t="s">
        <v>134</v>
      </c>
      <c r="S15" s="59" t="s">
        <v>134</v>
      </c>
      <c r="T15" s="59" t="s">
        <v>134</v>
      </c>
      <c r="U15" s="59" t="s">
        <v>134</v>
      </c>
      <c r="V15" s="59" t="s">
        <v>134</v>
      </c>
      <c r="W15" s="59" t="s">
        <v>134</v>
      </c>
      <c r="X15" s="59" t="s">
        <v>134</v>
      </c>
      <c r="Y15" s="59" t="s">
        <v>134</v>
      </c>
      <c r="Z15" s="59" t="s">
        <v>134</v>
      </c>
      <c r="AA15" s="55" t="str">
        <f>COUNTA(G15:Z15)</f>
        <v>0</v>
      </c>
      <c r="AB15" s="55" t="str">
        <f>IF(F15="tidak_hadir","TIDAK HADIR",IF(AA15=20,"LENGKAP","BELUM LENGKAP"))</f>
        <v>0</v>
      </c>
    </row>
    <row r="16" spans="1:28" customHeight="1" ht="24">
      <c r="A16" s="56">
        <v>10</v>
      </c>
      <c r="B16" s="56">
        <v>2510</v>
      </c>
      <c r="C16" s="56" t="s">
        <v>107</v>
      </c>
      <c r="D16" s="12" t="s">
        <v>108</v>
      </c>
      <c r="E16" s="56" t="s">
        <v>92</v>
      </c>
      <c r="F16" s="56" t="s">
        <v>127</v>
      </c>
      <c r="G16" s="59" t="s">
        <v>136</v>
      </c>
      <c r="H16" s="59" t="s">
        <v>136</v>
      </c>
      <c r="I16" s="59" t="s">
        <v>134</v>
      </c>
      <c r="J16" s="59" t="s">
        <v>134</v>
      </c>
      <c r="K16" s="59" t="s">
        <v>136</v>
      </c>
      <c r="L16" s="59" t="s">
        <v>134</v>
      </c>
      <c r="M16" s="59" t="s">
        <v>134</v>
      </c>
      <c r="N16" s="59" t="s">
        <v>134</v>
      </c>
      <c r="O16" s="59" t="s">
        <v>134</v>
      </c>
      <c r="P16" s="59" t="s">
        <v>134</v>
      </c>
      <c r="Q16" s="59" t="s">
        <v>134</v>
      </c>
      <c r="R16" s="59" t="s">
        <v>134</v>
      </c>
      <c r="S16" s="59" t="s">
        <v>134</v>
      </c>
      <c r="T16" s="59" t="s">
        <v>134</v>
      </c>
      <c r="U16" s="59" t="s">
        <v>136</v>
      </c>
      <c r="V16" s="59" t="s">
        <v>134</v>
      </c>
      <c r="W16" s="59" t="s">
        <v>134</v>
      </c>
      <c r="X16" s="59" t="s">
        <v>134</v>
      </c>
      <c r="Y16" s="59" t="s">
        <v>136</v>
      </c>
      <c r="Z16" s="59" t="s">
        <v>134</v>
      </c>
      <c r="AA16" s="55" t="str">
        <f>COUNTA(G16:Z16)</f>
        <v>0</v>
      </c>
      <c r="AB16" s="55" t="str">
        <f>IF(F16="tidak_hadir","TIDAK HADIR",IF(AA16=20,"LENGKAP","BELUM LENGKAP"))</f>
        <v>0</v>
      </c>
    </row>
  </sheetData>
  <mergeCells>
    <mergeCell ref="A1:G1"/>
  </mergeCells>
  <dataValidations count="21"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F7:F16">
      <formula1>"hadir,tidak_hadir,izin,sakit,alfa"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G7:G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H7:H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I7:I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J7:J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K7:K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L7:L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M7:M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N7:N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O7:O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P7:P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Q7:Q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R7:R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S7:S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T7:T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U7:U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V7:V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W7:W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X7:X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Y7:Y16">
      <formula1>"A,B,C,D,E"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Z7:Z16">
      <formula1>"A,B,C,D,E"</formula1>
    </dataValidation>
  </dataValidations>
  <printOptions gridLines="false" gridLinesSet="true"/>
  <pageMargins left="0.4" right="0.4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&amp;L&amp;BINPUT JAWABAN ABCD&amp;R&amp;D &amp;T</oddHeader>
    <oddFooter>&amp;L&amp;"Calibri,Regular"&amp;8SIABSoal - SMPN 2 Tasikmalaya&amp;C&amp;P / &amp;N&amp;R&amp;"Calibri,Regular"&amp;8Dicetak: &amp;D</oddFooter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9800"/>
    <outlinePr summaryBelow="1" summaryRight="1"/>
    <pageSetUpPr fitToPage="1"/>
  </sheetPr>
  <dimension ref="A1:AC16"/>
  <sheetViews>
    <sheetView tabSelected="0" workbookViewId="0" showGridLines="true" showRowColHeaders="1">
      <pane xSplit="6" ySplit="6" topLeftCell="G7" activePane="bottomRight" state="frozen"/>
      <selection pane="topRight"/>
      <selection pane="bottomLeft"/>
      <selection pane="bottomRight" activeCell="A16" sqref="A16:F16"/>
    </sheetView>
  </sheetViews>
  <sheetFormatPr defaultRowHeight="14.4" outlineLevelRow="0" outlineLevelCol="0"/>
  <cols>
    <col min="1" max="1" width="6" customWidth="true" style="0"/>
    <col min="2" max="2" width="15" customWidth="true" style="0"/>
    <col min="3" max="3" width="18" customWidth="true" style="0"/>
    <col min="4" max="4" width="30" customWidth="true" style="0"/>
    <col min="5" max="5" width="8" customWidth="true" style="0"/>
    <col min="6" max="6" width="18" customWidth="true" style="0"/>
    <col min="7" max="7" width="9" customWidth="true" style="0"/>
    <col min="8" max="8" width="9" customWidth="true" style="0"/>
    <col min="9" max="9" width="9" customWidth="true" style="0"/>
    <col min="10" max="10" width="9" customWidth="true" style="0"/>
    <col min="11" max="11" width="9" customWidth="true" style="0"/>
    <col min="12" max="12" width="9" customWidth="true" style="0"/>
    <col min="13" max="13" width="9" customWidth="true" style="0"/>
    <col min="14" max="14" width="9" customWidth="true" style="0"/>
    <col min="15" max="15" width="9" customWidth="true" style="0"/>
    <col min="16" max="16" width="9" customWidth="true" style="0"/>
    <col min="17" max="17" width="9" customWidth="true" style="0"/>
    <col min="18" max="18" width="9" customWidth="true" style="0"/>
    <col min="19" max="19" width="9" customWidth="true" style="0"/>
    <col min="20" max="20" width="9" customWidth="true" style="0"/>
    <col min="21" max="21" width="9" customWidth="true" style="0"/>
    <col min="22" max="22" width="9" customWidth="true" style="0"/>
    <col min="23" max="23" width="9" customWidth="true" style="0"/>
    <col min="24" max="24" width="9" customWidth="true" style="0"/>
    <col min="25" max="25" width="9" customWidth="true" style="0"/>
    <col min="26" max="26" width="9" customWidth="true" style="0"/>
    <col min="27" max="27" width="15" customWidth="true" style="0"/>
    <col min="28" max="28" width="12" customWidth="true" style="0"/>
    <col min="29" max="29" width="22" customWidth="true" style="0"/>
  </cols>
  <sheetData>
    <row r="1" spans="1:29" customHeight="1" ht="32">
      <c r="A1" s="15" t="s">
        <v>163</v>
      </c>
      <c r="B1" s="15"/>
      <c r="C1" s="15"/>
      <c r="D1" s="15"/>
      <c r="E1" s="15"/>
      <c r="F1" s="15"/>
      <c r="G1" s="15"/>
    </row>
    <row r="3" spans="1:29">
      <c r="A3" s="6" t="s">
        <v>116</v>
      </c>
      <c r="B3" t="s">
        <v>41</v>
      </c>
      <c r="D3" s="6" t="s">
        <v>117</v>
      </c>
      <c r="E3" t="s">
        <v>12</v>
      </c>
    </row>
    <row r="4" spans="1:29">
      <c r="A4" s="6" t="s">
        <v>129</v>
      </c>
      <c r="B4" t="s">
        <v>8</v>
      </c>
      <c r="D4" s="6" t="s">
        <v>139</v>
      </c>
      <c r="E4">
        <v>20</v>
      </c>
    </row>
    <row r="6" spans="1:29" customHeight="1" ht="28">
      <c r="A6" s="57" t="s">
        <v>79</v>
      </c>
      <c r="B6" s="57" t="s">
        <v>80</v>
      </c>
      <c r="C6" s="57" t="s">
        <v>81</v>
      </c>
      <c r="D6" s="57" t="s">
        <v>82</v>
      </c>
      <c r="E6" s="57" t="s">
        <v>83</v>
      </c>
      <c r="F6" s="57" t="s">
        <v>140</v>
      </c>
      <c r="G6" s="57" t="s">
        <v>164</v>
      </c>
      <c r="H6" s="57" t="s">
        <v>165</v>
      </c>
      <c r="I6" s="57" t="s">
        <v>166</v>
      </c>
      <c r="J6" s="57" t="s">
        <v>167</v>
      </c>
      <c r="K6" s="57" t="s">
        <v>168</v>
      </c>
      <c r="L6" s="57" t="s">
        <v>169</v>
      </c>
      <c r="M6" s="57" t="s">
        <v>170</v>
      </c>
      <c r="N6" s="57" t="s">
        <v>171</v>
      </c>
      <c r="O6" s="57" t="s">
        <v>172</v>
      </c>
      <c r="P6" s="57" t="s">
        <v>173</v>
      </c>
      <c r="Q6" s="57" t="s">
        <v>174</v>
      </c>
      <c r="R6" s="57" t="s">
        <v>175</v>
      </c>
      <c r="S6" s="57" t="s">
        <v>176</v>
      </c>
      <c r="T6" s="57" t="s">
        <v>177</v>
      </c>
      <c r="U6" s="57" t="s">
        <v>178</v>
      </c>
      <c r="V6" s="57" t="s">
        <v>179</v>
      </c>
      <c r="W6" s="57" t="s">
        <v>180</v>
      </c>
      <c r="X6" s="57" t="s">
        <v>181</v>
      </c>
      <c r="Y6" s="57" t="s">
        <v>182</v>
      </c>
      <c r="Z6" s="57" t="s">
        <v>183</v>
      </c>
      <c r="AA6" s="57" t="s">
        <v>184</v>
      </c>
      <c r="AB6" s="57" t="s">
        <v>185</v>
      </c>
      <c r="AC6" s="57" t="s">
        <v>186</v>
      </c>
    </row>
    <row r="7" spans="1:29" customHeight="1" ht="24">
      <c r="A7" s="60">
        <v>1</v>
      </c>
      <c r="B7" s="60">
        <v>2501</v>
      </c>
      <c r="C7" s="60" t="s">
        <v>86</v>
      </c>
      <c r="D7" s="61" t="s">
        <v>87</v>
      </c>
      <c r="E7" s="60" t="s">
        <v>88</v>
      </c>
      <c r="F7" s="60" t="s">
        <v>127</v>
      </c>
      <c r="G7" s="62">
        <v>1</v>
      </c>
      <c r="H7" s="62">
        <v>1</v>
      </c>
      <c r="I7" s="62">
        <v>1</v>
      </c>
      <c r="J7" s="62">
        <v>1</v>
      </c>
      <c r="K7" s="62">
        <v>1</v>
      </c>
      <c r="L7" s="62">
        <v>1</v>
      </c>
      <c r="M7" s="62">
        <v>1</v>
      </c>
      <c r="N7" s="62">
        <v>1</v>
      </c>
      <c r="O7" s="62">
        <v>1</v>
      </c>
      <c r="P7" s="62">
        <v>1</v>
      </c>
      <c r="Q7" s="62">
        <v>1</v>
      </c>
      <c r="R7" s="62">
        <v>1</v>
      </c>
      <c r="S7" s="62">
        <v>1</v>
      </c>
      <c r="T7" s="62">
        <v>1</v>
      </c>
      <c r="U7" s="62">
        <v>1</v>
      </c>
      <c r="V7" s="62">
        <v>1</v>
      </c>
      <c r="W7" s="62">
        <v>1</v>
      </c>
      <c r="X7" s="62">
        <v>1</v>
      </c>
      <c r="Y7" s="62">
        <v>1</v>
      </c>
      <c r="Z7" s="62">
        <v>1</v>
      </c>
      <c r="AA7" s="55" t="str">
        <f>SUM(G7:Z7)</f>
        <v>0</v>
      </c>
      <c r="AB7" s="55" t="str">
        <f>(AA7/20)*100</f>
        <v>0</v>
      </c>
      <c r="AC7" s="55" t="str">
        <f>IF(F7="tidak_hadir","TIDAK HADIR",IF(AB7&gt;=75,"TERCAPAI","PERLU PENINGKATAN"))</f>
        <v>0</v>
      </c>
    </row>
    <row r="8" spans="1:29" customHeight="1" ht="24">
      <c r="A8" s="56">
        <v>2</v>
      </c>
      <c r="B8" s="56">
        <v>2502</v>
      </c>
      <c r="C8" s="56" t="s">
        <v>90</v>
      </c>
      <c r="D8" s="12" t="s">
        <v>91</v>
      </c>
      <c r="E8" s="56" t="s">
        <v>92</v>
      </c>
      <c r="F8" s="56" t="s">
        <v>127</v>
      </c>
      <c r="G8" s="62">
        <v>1</v>
      </c>
      <c r="H8" s="62">
        <v>1</v>
      </c>
      <c r="I8" s="62">
        <v>1</v>
      </c>
      <c r="J8" s="62">
        <v>1</v>
      </c>
      <c r="K8" s="62">
        <v>1</v>
      </c>
      <c r="L8" s="62">
        <v>1</v>
      </c>
      <c r="M8" s="62">
        <v>1</v>
      </c>
      <c r="N8" s="62">
        <v>1</v>
      </c>
      <c r="O8" s="62">
        <v>1</v>
      </c>
      <c r="P8" s="62">
        <v>1</v>
      </c>
      <c r="Q8" s="62">
        <v>1</v>
      </c>
      <c r="R8" s="62">
        <v>1</v>
      </c>
      <c r="S8" s="62">
        <v>1</v>
      </c>
      <c r="T8" s="62">
        <v>1</v>
      </c>
      <c r="U8" s="62">
        <v>1</v>
      </c>
      <c r="V8" s="62">
        <v>1</v>
      </c>
      <c r="W8" s="62">
        <v>1</v>
      </c>
      <c r="X8" s="62">
        <v>1</v>
      </c>
      <c r="Y8" s="62">
        <v>1</v>
      </c>
      <c r="Z8" s="63">
        <v>0</v>
      </c>
      <c r="AA8" s="55" t="str">
        <f>SUM(G8:Z8)</f>
        <v>0</v>
      </c>
      <c r="AB8" s="55" t="str">
        <f>(AA8/20)*100</f>
        <v>0</v>
      </c>
      <c r="AC8" s="55" t="str">
        <f>IF(F8="tidak_hadir","TIDAK HADIR",IF(AB8&gt;=75,"TERCAPAI","PERLU PENINGKATAN"))</f>
        <v>0</v>
      </c>
    </row>
    <row r="9" spans="1:29" customHeight="1" ht="24">
      <c r="A9" s="60">
        <v>3</v>
      </c>
      <c r="B9" s="60">
        <v>2503</v>
      </c>
      <c r="C9" s="60" t="s">
        <v>93</v>
      </c>
      <c r="D9" s="61" t="s">
        <v>94</v>
      </c>
      <c r="E9" s="60" t="s">
        <v>88</v>
      </c>
      <c r="F9" s="60" t="s">
        <v>127</v>
      </c>
      <c r="G9" s="62">
        <v>1</v>
      </c>
      <c r="H9" s="62">
        <v>1</v>
      </c>
      <c r="I9" s="62">
        <v>1</v>
      </c>
      <c r="J9" s="62">
        <v>1</v>
      </c>
      <c r="K9" s="62">
        <v>1</v>
      </c>
      <c r="L9" s="62">
        <v>1</v>
      </c>
      <c r="M9" s="62">
        <v>1</v>
      </c>
      <c r="N9" s="62">
        <v>1</v>
      </c>
      <c r="O9" s="62">
        <v>1</v>
      </c>
      <c r="P9" s="62">
        <v>1</v>
      </c>
      <c r="Q9" s="62">
        <v>1</v>
      </c>
      <c r="R9" s="62">
        <v>1</v>
      </c>
      <c r="S9" s="62">
        <v>1</v>
      </c>
      <c r="T9" s="62">
        <v>1</v>
      </c>
      <c r="U9" s="62">
        <v>1</v>
      </c>
      <c r="V9" s="62">
        <v>1</v>
      </c>
      <c r="W9" s="62">
        <v>1</v>
      </c>
      <c r="X9" s="63">
        <v>0</v>
      </c>
      <c r="Y9" s="62">
        <v>1</v>
      </c>
      <c r="Z9" s="62">
        <v>1</v>
      </c>
      <c r="AA9" s="55" t="str">
        <f>SUM(G9:Z9)</f>
        <v>0</v>
      </c>
      <c r="AB9" s="55" t="str">
        <f>(AA9/20)*100</f>
        <v>0</v>
      </c>
      <c r="AC9" s="55" t="str">
        <f>IF(F9="tidak_hadir","TIDAK HADIR",IF(AB9&gt;=75,"TERCAPAI","PERLU PENINGKATAN"))</f>
        <v>0</v>
      </c>
    </row>
    <row r="10" spans="1:29" customHeight="1" ht="24">
      <c r="A10" s="56">
        <v>4</v>
      </c>
      <c r="B10" s="56">
        <v>2504</v>
      </c>
      <c r="C10" s="56" t="s">
        <v>95</v>
      </c>
      <c r="D10" s="12" t="s">
        <v>96</v>
      </c>
      <c r="E10" s="56" t="s">
        <v>92</v>
      </c>
      <c r="F10" s="56" t="s">
        <v>127</v>
      </c>
      <c r="G10" s="62">
        <v>1</v>
      </c>
      <c r="H10" s="62">
        <v>1</v>
      </c>
      <c r="I10" s="62">
        <v>1</v>
      </c>
      <c r="J10" s="62">
        <v>1</v>
      </c>
      <c r="K10" s="62">
        <v>1</v>
      </c>
      <c r="L10" s="62">
        <v>1</v>
      </c>
      <c r="M10" s="62">
        <v>1</v>
      </c>
      <c r="N10" s="62">
        <v>1</v>
      </c>
      <c r="O10" s="62">
        <v>1</v>
      </c>
      <c r="P10" s="63">
        <v>0</v>
      </c>
      <c r="Q10" s="62">
        <v>1</v>
      </c>
      <c r="R10" s="62">
        <v>1</v>
      </c>
      <c r="S10" s="62">
        <v>1</v>
      </c>
      <c r="T10" s="62">
        <v>1</v>
      </c>
      <c r="U10" s="62">
        <v>1</v>
      </c>
      <c r="V10" s="62">
        <v>1</v>
      </c>
      <c r="W10" s="63">
        <v>0</v>
      </c>
      <c r="X10" s="62">
        <v>1</v>
      </c>
      <c r="Y10" s="63">
        <v>0</v>
      </c>
      <c r="Z10" s="62">
        <v>1</v>
      </c>
      <c r="AA10" s="55" t="str">
        <f>SUM(G10:Z10)</f>
        <v>0</v>
      </c>
      <c r="AB10" s="55" t="str">
        <f>(AA10/20)*100</f>
        <v>0</v>
      </c>
      <c r="AC10" s="55" t="str">
        <f>IF(F10="tidak_hadir","TIDAK HADIR",IF(AB10&gt;=75,"TERCAPAI","PERLU PENINGKATAN"))</f>
        <v>0</v>
      </c>
    </row>
    <row r="11" spans="1:29" customHeight="1" ht="24">
      <c r="A11" s="60">
        <v>5</v>
      </c>
      <c r="B11" s="60">
        <v>2505</v>
      </c>
      <c r="C11" s="60" t="s">
        <v>97</v>
      </c>
      <c r="D11" s="61" t="s">
        <v>98</v>
      </c>
      <c r="E11" s="60" t="s">
        <v>88</v>
      </c>
      <c r="F11" s="60" t="s">
        <v>127</v>
      </c>
      <c r="G11" s="62">
        <v>1</v>
      </c>
      <c r="H11" s="62">
        <v>1</v>
      </c>
      <c r="I11" s="62">
        <v>1</v>
      </c>
      <c r="J11" s="62">
        <v>1</v>
      </c>
      <c r="K11" s="62">
        <v>1</v>
      </c>
      <c r="L11" s="62">
        <v>1</v>
      </c>
      <c r="M11" s="62">
        <v>1</v>
      </c>
      <c r="N11" s="62">
        <v>1</v>
      </c>
      <c r="O11" s="63">
        <v>0</v>
      </c>
      <c r="P11" s="62">
        <v>1</v>
      </c>
      <c r="Q11" s="62">
        <v>1</v>
      </c>
      <c r="R11" s="62">
        <v>1</v>
      </c>
      <c r="S11" s="63">
        <v>0</v>
      </c>
      <c r="T11" s="62">
        <v>1</v>
      </c>
      <c r="U11" s="62">
        <v>1</v>
      </c>
      <c r="V11" s="62">
        <v>1</v>
      </c>
      <c r="W11" s="63">
        <v>0</v>
      </c>
      <c r="X11" s="62">
        <v>1</v>
      </c>
      <c r="Y11" s="62">
        <v>1</v>
      </c>
      <c r="Z11" s="62">
        <v>1</v>
      </c>
      <c r="AA11" s="55" t="str">
        <f>SUM(G11:Z11)</f>
        <v>0</v>
      </c>
      <c r="AB11" s="55" t="str">
        <f>(AA11/20)*100</f>
        <v>0</v>
      </c>
      <c r="AC11" s="55" t="str">
        <f>IF(F11="tidak_hadir","TIDAK HADIR",IF(AB11&gt;=75,"TERCAPAI","PERLU PENINGKATAN"))</f>
        <v>0</v>
      </c>
    </row>
    <row r="12" spans="1:29" customHeight="1" ht="24">
      <c r="A12" s="56">
        <v>6</v>
      </c>
      <c r="B12" s="56">
        <v>2506</v>
      </c>
      <c r="C12" s="56" t="s">
        <v>99</v>
      </c>
      <c r="D12" s="12" t="s">
        <v>100</v>
      </c>
      <c r="E12" s="56" t="s">
        <v>92</v>
      </c>
      <c r="F12" s="56" t="s">
        <v>127</v>
      </c>
      <c r="G12" s="62">
        <v>1</v>
      </c>
      <c r="H12" s="62">
        <v>1</v>
      </c>
      <c r="I12" s="62">
        <v>1</v>
      </c>
      <c r="J12" s="62">
        <v>1</v>
      </c>
      <c r="K12" s="62">
        <v>1</v>
      </c>
      <c r="L12" s="62">
        <v>1</v>
      </c>
      <c r="M12" s="63">
        <v>0</v>
      </c>
      <c r="N12" s="62">
        <v>1</v>
      </c>
      <c r="O12" s="62">
        <v>1</v>
      </c>
      <c r="P12" s="63">
        <v>0</v>
      </c>
      <c r="Q12" s="62">
        <v>1</v>
      </c>
      <c r="R12" s="63">
        <v>0</v>
      </c>
      <c r="S12" s="62">
        <v>1</v>
      </c>
      <c r="T12" s="62">
        <v>1</v>
      </c>
      <c r="U12" s="62">
        <v>1</v>
      </c>
      <c r="V12" s="62">
        <v>1</v>
      </c>
      <c r="W12" s="63">
        <v>0</v>
      </c>
      <c r="X12" s="63">
        <v>0</v>
      </c>
      <c r="Y12" s="62">
        <v>1</v>
      </c>
      <c r="Z12" s="62">
        <v>1</v>
      </c>
      <c r="AA12" s="55" t="str">
        <f>SUM(G12:Z12)</f>
        <v>0</v>
      </c>
      <c r="AB12" s="55" t="str">
        <f>(AA12/20)*100</f>
        <v>0</v>
      </c>
      <c r="AC12" s="55" t="str">
        <f>IF(F12="tidak_hadir","TIDAK HADIR",IF(AB12&gt;=75,"TERCAPAI","PERLU PENINGKATAN"))</f>
        <v>0</v>
      </c>
    </row>
    <row r="13" spans="1:29" customHeight="1" ht="24">
      <c r="A13" s="60">
        <v>7</v>
      </c>
      <c r="B13" s="60">
        <v>2507</v>
      </c>
      <c r="C13" s="60" t="s">
        <v>101</v>
      </c>
      <c r="D13" s="61" t="s">
        <v>102</v>
      </c>
      <c r="E13" s="60" t="s">
        <v>88</v>
      </c>
      <c r="F13" s="60" t="s">
        <v>127</v>
      </c>
      <c r="G13" s="62">
        <v>1</v>
      </c>
      <c r="H13" s="62">
        <v>1</v>
      </c>
      <c r="I13" s="62">
        <v>1</v>
      </c>
      <c r="J13" s="63">
        <v>0</v>
      </c>
      <c r="K13" s="62">
        <v>1</v>
      </c>
      <c r="L13" s="62">
        <v>1</v>
      </c>
      <c r="M13" s="63">
        <v>0</v>
      </c>
      <c r="N13" s="62">
        <v>1</v>
      </c>
      <c r="O13" s="62">
        <v>1</v>
      </c>
      <c r="P13" s="63">
        <v>0</v>
      </c>
      <c r="Q13" s="62">
        <v>1</v>
      </c>
      <c r="R13" s="63">
        <v>0</v>
      </c>
      <c r="S13" s="62">
        <v>1</v>
      </c>
      <c r="T13" s="63">
        <v>0</v>
      </c>
      <c r="U13" s="62">
        <v>1</v>
      </c>
      <c r="V13" s="62">
        <v>1</v>
      </c>
      <c r="W13" s="63">
        <v>0</v>
      </c>
      <c r="X13" s="63">
        <v>0</v>
      </c>
      <c r="Y13" s="62">
        <v>1</v>
      </c>
      <c r="Z13" s="63">
        <v>0</v>
      </c>
      <c r="AA13" s="55" t="str">
        <f>SUM(G13:Z13)</f>
        <v>0</v>
      </c>
      <c r="AB13" s="55" t="str">
        <f>(AA13/20)*100</f>
        <v>0</v>
      </c>
      <c r="AC13" s="55" t="str">
        <f>IF(F13="tidak_hadir","TIDAK HADIR",IF(AB13&gt;=75,"TERCAPAI","PERLU PENINGKATAN"))</f>
        <v>0</v>
      </c>
    </row>
    <row r="14" spans="1:29" customHeight="1" ht="24">
      <c r="A14" s="56">
        <v>8</v>
      </c>
      <c r="B14" s="56">
        <v>2508</v>
      </c>
      <c r="C14" s="56" t="s">
        <v>103</v>
      </c>
      <c r="D14" s="12" t="s">
        <v>104</v>
      </c>
      <c r="E14" s="56" t="s">
        <v>92</v>
      </c>
      <c r="F14" s="56" t="s">
        <v>127</v>
      </c>
      <c r="G14" s="62">
        <v>1</v>
      </c>
      <c r="H14" s="62">
        <v>1</v>
      </c>
      <c r="I14" s="62">
        <v>1</v>
      </c>
      <c r="J14" s="63">
        <v>0</v>
      </c>
      <c r="K14" s="62">
        <v>1</v>
      </c>
      <c r="L14" s="63">
        <v>0</v>
      </c>
      <c r="M14" s="63">
        <v>0</v>
      </c>
      <c r="N14" s="62">
        <v>1</v>
      </c>
      <c r="O14" s="63">
        <v>0</v>
      </c>
      <c r="P14" s="62">
        <v>1</v>
      </c>
      <c r="Q14" s="62">
        <v>1</v>
      </c>
      <c r="R14" s="63">
        <v>0</v>
      </c>
      <c r="S14" s="63">
        <v>0</v>
      </c>
      <c r="T14" s="63">
        <v>0</v>
      </c>
      <c r="U14" s="62">
        <v>1</v>
      </c>
      <c r="V14" s="63">
        <v>0</v>
      </c>
      <c r="W14" s="63">
        <v>0</v>
      </c>
      <c r="X14" s="63">
        <v>0</v>
      </c>
      <c r="Y14" s="62">
        <v>1</v>
      </c>
      <c r="Z14" s="63">
        <v>0</v>
      </c>
      <c r="AA14" s="55" t="str">
        <f>SUM(G14:Z14)</f>
        <v>0</v>
      </c>
      <c r="AB14" s="55" t="str">
        <f>(AA14/20)*100</f>
        <v>0</v>
      </c>
      <c r="AC14" s="55" t="str">
        <f>IF(F14="tidak_hadir","TIDAK HADIR",IF(AB14&gt;=75,"TERCAPAI","PERLU PENINGKATAN"))</f>
        <v>0</v>
      </c>
    </row>
    <row r="15" spans="1:29" customHeight="1" ht="24">
      <c r="A15" s="60">
        <v>9</v>
      </c>
      <c r="B15" s="60">
        <v>2509</v>
      </c>
      <c r="C15" s="60" t="s">
        <v>105</v>
      </c>
      <c r="D15" s="61" t="s">
        <v>106</v>
      </c>
      <c r="E15" s="60" t="s">
        <v>88</v>
      </c>
      <c r="F15" s="60" t="s">
        <v>127</v>
      </c>
      <c r="G15" s="62">
        <v>1</v>
      </c>
      <c r="H15" s="63">
        <v>0</v>
      </c>
      <c r="I15" s="63">
        <v>0</v>
      </c>
      <c r="J15" s="63">
        <v>0</v>
      </c>
      <c r="K15" s="62">
        <v>1</v>
      </c>
      <c r="L15" s="63">
        <v>0</v>
      </c>
      <c r="M15" s="63">
        <v>0</v>
      </c>
      <c r="N15" s="62">
        <v>1</v>
      </c>
      <c r="O15" s="63">
        <v>0</v>
      </c>
      <c r="P15" s="63">
        <v>0</v>
      </c>
      <c r="Q15" s="62">
        <v>1</v>
      </c>
      <c r="R15" s="63">
        <v>0</v>
      </c>
      <c r="S15" s="63">
        <v>0</v>
      </c>
      <c r="T15" s="63">
        <v>0</v>
      </c>
      <c r="U15" s="62">
        <v>1</v>
      </c>
      <c r="V15" s="63">
        <v>0</v>
      </c>
      <c r="W15" s="63">
        <v>0</v>
      </c>
      <c r="X15" s="63">
        <v>0</v>
      </c>
      <c r="Y15" s="62">
        <v>1</v>
      </c>
      <c r="Z15" s="63">
        <v>0</v>
      </c>
      <c r="AA15" s="55" t="str">
        <f>SUM(G15:Z15)</f>
        <v>0</v>
      </c>
      <c r="AB15" s="55" t="str">
        <f>(AA15/20)*100</f>
        <v>0</v>
      </c>
      <c r="AC15" s="55" t="str">
        <f>IF(F15="tidak_hadir","TIDAK HADIR",IF(AB15&gt;=75,"TERCAPAI","PERLU PENINGKATAN"))</f>
        <v>0</v>
      </c>
    </row>
    <row r="16" spans="1:29" customHeight="1" ht="24">
      <c r="A16" s="56">
        <v>10</v>
      </c>
      <c r="B16" s="56">
        <v>2510</v>
      </c>
      <c r="C16" s="56" t="s">
        <v>107</v>
      </c>
      <c r="D16" s="12" t="s">
        <v>108</v>
      </c>
      <c r="E16" s="56" t="s">
        <v>92</v>
      </c>
      <c r="F16" s="56" t="s">
        <v>127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2">
        <v>1</v>
      </c>
      <c r="O16" s="63">
        <v>0</v>
      </c>
      <c r="P16" s="63">
        <v>0</v>
      </c>
      <c r="Q16" s="62">
        <v>1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Z16" s="63">
        <v>0</v>
      </c>
      <c r="AA16" s="55" t="str">
        <f>SUM(G16:Z16)</f>
        <v>0</v>
      </c>
      <c r="AB16" s="55" t="str">
        <f>(AA16/20)*100</f>
        <v>0</v>
      </c>
      <c r="AC16" s="55" t="str">
        <f>IF(F16="tidak_hadir","TIDAK HADIR",IF(AB16&gt;=75,"TERCAPAI","PERLU PENINGKATAN"))</f>
        <v>0</v>
      </c>
    </row>
  </sheetData>
  <mergeCells>
    <mergeCell ref="A1:G1"/>
  </mergeCells>
  <dataValidations count="21"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F7:F16">
      <formula1>"hadir,tidak_hadir,izin,sakit,alfa"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G7:G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H7:H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I7:I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J7:J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K7:K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L7:L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M7:M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N7:N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O7:O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P7:P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Q7:Q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R7:R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S7:S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T7:T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U7:U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V7:V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W7:W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X7:X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Y7:Y16">
      <formula1>"0,1"</formula1>
    </dataValidation>
    <dataValidation type="list" errorStyle="stop" operator="between" allowBlank="1" showDropDown="0" showInputMessage="1" showErrorMessage="1" errorTitle="Input Tidak Valid" error="Pilih nilai dari daftar yang tersedia." promptTitle="Pilih Nilai" prompt="Silakan pilih salah satu opsi dari dropdown." sqref="Z7:Z16">
      <formula1>"0,1"</formula1>
    </dataValidation>
  </dataValidations>
  <printOptions gridLines="false" gridLinesSet="true"/>
  <pageMargins left="0.4" right="0.4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&amp;L&amp;BINPUT SKOR 0/1&amp;R&amp;D &amp;T</oddHeader>
    <oddFooter>&amp;L&amp;"Calibri,Regular"&amp;8SIABSoal - SMPN 2 Tasikmalaya&amp;C&amp;P / &amp;N&amp;R&amp;"Calibri,Regular"&amp;8Dicetak: &amp;D</oddFooter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C27B0"/>
    <outlinePr summaryBelow="1" summaryRight="1"/>
  </sheetPr>
  <dimension ref="A1:AD14"/>
  <sheetViews>
    <sheetView tabSelected="0" workbookViewId="0" showGridLines="false" showRowColHeaders="1">
      <pane xSplit="6" ySplit="4" topLeftCell="G5" activePane="bottomRight" state="frozen"/>
      <selection pane="topRight"/>
      <selection pane="bottomLeft"/>
      <selection pane="bottomRight" activeCell="D5" sqref="D5:D14"/>
    </sheetView>
  </sheetViews>
  <sheetFormatPr defaultRowHeight="14.4" outlineLevelRow="0" outlineLevelCol="0"/>
  <cols>
    <col min="1" max="1" width="8" customWidth="true" style="0"/>
    <col min="2" max="2" width="16" customWidth="true" style="0"/>
    <col min="3" max="3" width="18" customWidth="true" style="0"/>
    <col min="4" max="4" width="32" customWidth="true" style="0"/>
    <col min="5" max="5" width="14" customWidth="true" style="0"/>
    <col min="6" max="6" width="18" customWidth="true" style="0"/>
    <col min="7" max="7" width="9" customWidth="true" style="0"/>
    <col min="8" max="8" width="9" customWidth="true" style="0"/>
    <col min="9" max="9" width="9" customWidth="true" style="0"/>
    <col min="10" max="10" width="9" customWidth="true" style="0"/>
    <col min="11" max="11" width="9" customWidth="true" style="0"/>
    <col min="12" max="12" width="9" customWidth="true" style="0"/>
    <col min="13" max="13" width="9" customWidth="true" style="0"/>
    <col min="14" max="14" width="9" customWidth="true" style="0"/>
    <col min="15" max="15" width="9" customWidth="true" style="0"/>
    <col min="16" max="16" width="9" customWidth="true" style="0"/>
    <col min="17" max="17" width="9" customWidth="true" style="0"/>
    <col min="18" max="18" width="9" customWidth="true" style="0"/>
    <col min="19" max="19" width="9" customWidth="true" style="0"/>
    <col min="20" max="20" width="9" customWidth="true" style="0"/>
    <col min="21" max="21" width="9" customWidth="true" style="0"/>
    <col min="22" max="22" width="9" customWidth="true" style="0"/>
    <col min="23" max="23" width="9" customWidth="true" style="0"/>
    <col min="24" max="24" width="9" customWidth="true" style="0"/>
    <col min="25" max="25" width="9" customWidth="true" style="0"/>
    <col min="26" max="26" width="9" customWidth="true" style="0"/>
    <col min="27" max="27" width="15" customWidth="true" style="0"/>
    <col min="28" max="28" width="15" customWidth="true" style="0"/>
    <col min="29" max="29" width="12" customWidth="true" style="0"/>
    <col min="30" max="30" width="22" customWidth="true" style="0"/>
  </cols>
  <sheetData>
    <row r="1" spans="1:30" customHeight="1" ht="32">
      <c r="A1" s="15" t="s">
        <v>187</v>
      </c>
      <c r="B1" s="15"/>
      <c r="C1" s="15"/>
      <c r="D1" s="15"/>
      <c r="E1" s="15"/>
      <c r="F1" s="15"/>
      <c r="G1" s="15"/>
      <c r="H1" s="15"/>
      <c r="I1" s="15"/>
      <c r="J1" s="15"/>
    </row>
    <row r="4" spans="1:30">
      <c r="A4" s="57" t="s">
        <v>79</v>
      </c>
      <c r="B4" s="57" t="s">
        <v>80</v>
      </c>
      <c r="C4" s="57" t="s">
        <v>81</v>
      </c>
      <c r="D4" s="57" t="s">
        <v>82</v>
      </c>
      <c r="E4" s="57" t="s">
        <v>83</v>
      </c>
      <c r="F4" s="57" t="s">
        <v>140</v>
      </c>
      <c r="G4" s="57" t="s">
        <v>164</v>
      </c>
      <c r="H4" s="57" t="s">
        <v>165</v>
      </c>
      <c r="I4" s="57" t="s">
        <v>166</v>
      </c>
      <c r="J4" s="57" t="s">
        <v>167</v>
      </c>
      <c r="K4" s="57" t="s">
        <v>168</v>
      </c>
      <c r="L4" s="57" t="s">
        <v>169</v>
      </c>
      <c r="M4" s="57" t="s">
        <v>170</v>
      </c>
      <c r="N4" s="57" t="s">
        <v>171</v>
      </c>
      <c r="O4" s="57" t="s">
        <v>172</v>
      </c>
      <c r="P4" s="57" t="s">
        <v>173</v>
      </c>
      <c r="Q4" s="57" t="s">
        <v>174</v>
      </c>
      <c r="R4" s="57" t="s">
        <v>175</v>
      </c>
      <c r="S4" s="57" t="s">
        <v>176</v>
      </c>
      <c r="T4" s="57" t="s">
        <v>177</v>
      </c>
      <c r="U4" s="57" t="s">
        <v>178</v>
      </c>
      <c r="V4" s="57" t="s">
        <v>179</v>
      </c>
      <c r="W4" s="57" t="s">
        <v>180</v>
      </c>
      <c r="X4" s="57" t="s">
        <v>181</v>
      </c>
      <c r="Y4" s="57" t="s">
        <v>182</v>
      </c>
      <c r="Z4" s="57" t="s">
        <v>183</v>
      </c>
      <c r="AA4" s="57" t="s">
        <v>184</v>
      </c>
      <c r="AB4" s="57" t="s">
        <v>188</v>
      </c>
      <c r="AC4" s="57" t="s">
        <v>185</v>
      </c>
      <c r="AD4" s="57" t="s">
        <v>186</v>
      </c>
    </row>
    <row r="5" spans="1:30" customHeight="1" ht="24">
      <c r="A5" s="55">
        <v>1</v>
      </c>
      <c r="B5" s="55" t="str">
        <f>INPUT_SKOR_01!B7</f>
        <v>0</v>
      </c>
      <c r="C5" s="55" t="str">
        <f>INPUT_SKOR_01!C7</f>
        <v>0</v>
      </c>
      <c r="D5" s="64" t="str">
        <f>INPUT_SKOR_01!D7</f>
        <v>0</v>
      </c>
      <c r="E5" s="55" t="str">
        <f>INPUT_SKOR_01!E7</f>
        <v>0</v>
      </c>
      <c r="F5" s="55" t="str">
        <f>INPUT_SKOR_01!F7</f>
        <v>0</v>
      </c>
      <c r="G5" s="55" t="str">
        <f>INPUT_SKOR_01!G7</f>
        <v>0</v>
      </c>
      <c r="H5" s="55" t="str">
        <f>INPUT_SKOR_01!H7</f>
        <v>0</v>
      </c>
      <c r="I5" s="55" t="str">
        <f>INPUT_SKOR_01!I7</f>
        <v>0</v>
      </c>
      <c r="J5" s="55" t="str">
        <f>INPUT_SKOR_01!J7</f>
        <v>0</v>
      </c>
      <c r="K5" s="55" t="str">
        <f>INPUT_SKOR_01!K7</f>
        <v>0</v>
      </c>
      <c r="L5" s="55" t="str">
        <f>INPUT_SKOR_01!L7</f>
        <v>0</v>
      </c>
      <c r="M5" s="55" t="str">
        <f>INPUT_SKOR_01!M7</f>
        <v>0</v>
      </c>
      <c r="N5" s="55" t="str">
        <f>INPUT_SKOR_01!N7</f>
        <v>0</v>
      </c>
      <c r="O5" s="55" t="str">
        <f>INPUT_SKOR_01!O7</f>
        <v>0</v>
      </c>
      <c r="P5" s="55" t="str">
        <f>INPUT_SKOR_01!P7</f>
        <v>0</v>
      </c>
      <c r="Q5" s="55" t="str">
        <f>INPUT_SKOR_01!Q7</f>
        <v>0</v>
      </c>
      <c r="R5" s="55" t="str">
        <f>INPUT_SKOR_01!R7</f>
        <v>0</v>
      </c>
      <c r="S5" s="55" t="str">
        <f>INPUT_SKOR_01!S7</f>
        <v>0</v>
      </c>
      <c r="T5" s="55" t="str">
        <f>INPUT_SKOR_01!T7</f>
        <v>0</v>
      </c>
      <c r="U5" s="55" t="str">
        <f>INPUT_SKOR_01!U7</f>
        <v>0</v>
      </c>
      <c r="V5" s="55" t="str">
        <f>INPUT_SKOR_01!V7</f>
        <v>0</v>
      </c>
      <c r="W5" s="55" t="str">
        <f>INPUT_SKOR_01!W7</f>
        <v>0</v>
      </c>
      <c r="X5" s="55" t="str">
        <f>INPUT_SKOR_01!X7</f>
        <v>0</v>
      </c>
      <c r="Y5" s="55" t="str">
        <f>INPUT_SKOR_01!Y7</f>
        <v>0</v>
      </c>
      <c r="Z5" s="55" t="str">
        <f>INPUT_SKOR_01!Z7</f>
        <v>0</v>
      </c>
      <c r="AA5" s="55" t="str">
        <f>SUM(G5:Z5)</f>
        <v>0</v>
      </c>
      <c r="AB5" s="55" t="str">
        <f>20-AA5</f>
        <v>0</v>
      </c>
      <c r="AC5" s="55" t="str">
        <f>IF(20=0,0,AA5/20*100)</f>
        <v>0</v>
      </c>
      <c r="AD5" s="55" t="str">
        <f>IF(F5="tidak_hadir","TIDAK HADIR",IF(AC5&gt;=75,"TERCAPAI","PERLU PENINGKATAN"))</f>
        <v>0</v>
      </c>
    </row>
    <row r="6" spans="1:30" customHeight="1" ht="24">
      <c r="A6" s="55">
        <v>2</v>
      </c>
      <c r="B6" s="55" t="str">
        <f>INPUT_SKOR_01!B8</f>
        <v>0</v>
      </c>
      <c r="C6" s="55" t="str">
        <f>INPUT_SKOR_01!C8</f>
        <v>0</v>
      </c>
      <c r="D6" s="64" t="str">
        <f>INPUT_SKOR_01!D8</f>
        <v>0</v>
      </c>
      <c r="E6" s="55" t="str">
        <f>INPUT_SKOR_01!E8</f>
        <v>0</v>
      </c>
      <c r="F6" s="55" t="str">
        <f>INPUT_SKOR_01!F8</f>
        <v>0</v>
      </c>
      <c r="G6" s="55" t="str">
        <f>INPUT_SKOR_01!G8</f>
        <v>0</v>
      </c>
      <c r="H6" s="55" t="str">
        <f>INPUT_SKOR_01!H8</f>
        <v>0</v>
      </c>
      <c r="I6" s="55" t="str">
        <f>INPUT_SKOR_01!I8</f>
        <v>0</v>
      </c>
      <c r="J6" s="55" t="str">
        <f>INPUT_SKOR_01!J8</f>
        <v>0</v>
      </c>
      <c r="K6" s="55" t="str">
        <f>INPUT_SKOR_01!K8</f>
        <v>0</v>
      </c>
      <c r="L6" s="55" t="str">
        <f>INPUT_SKOR_01!L8</f>
        <v>0</v>
      </c>
      <c r="M6" s="55" t="str">
        <f>INPUT_SKOR_01!M8</f>
        <v>0</v>
      </c>
      <c r="N6" s="55" t="str">
        <f>INPUT_SKOR_01!N8</f>
        <v>0</v>
      </c>
      <c r="O6" s="55" t="str">
        <f>INPUT_SKOR_01!O8</f>
        <v>0</v>
      </c>
      <c r="P6" s="55" t="str">
        <f>INPUT_SKOR_01!P8</f>
        <v>0</v>
      </c>
      <c r="Q6" s="55" t="str">
        <f>INPUT_SKOR_01!Q8</f>
        <v>0</v>
      </c>
      <c r="R6" s="55" t="str">
        <f>INPUT_SKOR_01!R8</f>
        <v>0</v>
      </c>
      <c r="S6" s="55" t="str">
        <f>INPUT_SKOR_01!S8</f>
        <v>0</v>
      </c>
      <c r="T6" s="55" t="str">
        <f>INPUT_SKOR_01!T8</f>
        <v>0</v>
      </c>
      <c r="U6" s="55" t="str">
        <f>INPUT_SKOR_01!U8</f>
        <v>0</v>
      </c>
      <c r="V6" s="55" t="str">
        <f>INPUT_SKOR_01!V8</f>
        <v>0</v>
      </c>
      <c r="W6" s="55" t="str">
        <f>INPUT_SKOR_01!W8</f>
        <v>0</v>
      </c>
      <c r="X6" s="55" t="str">
        <f>INPUT_SKOR_01!X8</f>
        <v>0</v>
      </c>
      <c r="Y6" s="55" t="str">
        <f>INPUT_SKOR_01!Y8</f>
        <v>0</v>
      </c>
      <c r="Z6" s="55" t="str">
        <f>INPUT_SKOR_01!Z8</f>
        <v>0</v>
      </c>
      <c r="AA6" s="55" t="str">
        <f>SUM(G6:Z6)</f>
        <v>0</v>
      </c>
      <c r="AB6" s="55" t="str">
        <f>20-AA6</f>
        <v>0</v>
      </c>
      <c r="AC6" s="55" t="str">
        <f>IF(20=0,0,AA6/20*100)</f>
        <v>0</v>
      </c>
      <c r="AD6" s="55" t="str">
        <f>IF(F6="tidak_hadir","TIDAK HADIR",IF(AC6&gt;=75,"TERCAPAI","PERLU PENINGKATAN"))</f>
        <v>0</v>
      </c>
    </row>
    <row r="7" spans="1:30" customHeight="1" ht="24">
      <c r="A7" s="55">
        <v>3</v>
      </c>
      <c r="B7" s="55" t="str">
        <f>INPUT_SKOR_01!B9</f>
        <v>0</v>
      </c>
      <c r="C7" s="55" t="str">
        <f>INPUT_SKOR_01!C9</f>
        <v>0</v>
      </c>
      <c r="D7" s="64" t="str">
        <f>INPUT_SKOR_01!D9</f>
        <v>0</v>
      </c>
      <c r="E7" s="55" t="str">
        <f>INPUT_SKOR_01!E9</f>
        <v>0</v>
      </c>
      <c r="F7" s="55" t="str">
        <f>INPUT_SKOR_01!F9</f>
        <v>0</v>
      </c>
      <c r="G7" s="55" t="str">
        <f>INPUT_SKOR_01!G9</f>
        <v>0</v>
      </c>
      <c r="H7" s="55" t="str">
        <f>INPUT_SKOR_01!H9</f>
        <v>0</v>
      </c>
      <c r="I7" s="55" t="str">
        <f>INPUT_SKOR_01!I9</f>
        <v>0</v>
      </c>
      <c r="J7" s="55" t="str">
        <f>INPUT_SKOR_01!J9</f>
        <v>0</v>
      </c>
      <c r="K7" s="55" t="str">
        <f>INPUT_SKOR_01!K9</f>
        <v>0</v>
      </c>
      <c r="L7" s="55" t="str">
        <f>INPUT_SKOR_01!L9</f>
        <v>0</v>
      </c>
      <c r="M7" s="55" t="str">
        <f>INPUT_SKOR_01!M9</f>
        <v>0</v>
      </c>
      <c r="N7" s="55" t="str">
        <f>INPUT_SKOR_01!N9</f>
        <v>0</v>
      </c>
      <c r="O7" s="55" t="str">
        <f>INPUT_SKOR_01!O9</f>
        <v>0</v>
      </c>
      <c r="P7" s="55" t="str">
        <f>INPUT_SKOR_01!P9</f>
        <v>0</v>
      </c>
      <c r="Q7" s="55" t="str">
        <f>INPUT_SKOR_01!Q9</f>
        <v>0</v>
      </c>
      <c r="R7" s="55" t="str">
        <f>INPUT_SKOR_01!R9</f>
        <v>0</v>
      </c>
      <c r="S7" s="55" t="str">
        <f>INPUT_SKOR_01!S9</f>
        <v>0</v>
      </c>
      <c r="T7" s="55" t="str">
        <f>INPUT_SKOR_01!T9</f>
        <v>0</v>
      </c>
      <c r="U7" s="55" t="str">
        <f>INPUT_SKOR_01!U9</f>
        <v>0</v>
      </c>
      <c r="V7" s="55" t="str">
        <f>INPUT_SKOR_01!V9</f>
        <v>0</v>
      </c>
      <c r="W7" s="55" t="str">
        <f>INPUT_SKOR_01!W9</f>
        <v>0</v>
      </c>
      <c r="X7" s="55" t="str">
        <f>INPUT_SKOR_01!X9</f>
        <v>0</v>
      </c>
      <c r="Y7" s="55" t="str">
        <f>INPUT_SKOR_01!Y9</f>
        <v>0</v>
      </c>
      <c r="Z7" s="55" t="str">
        <f>INPUT_SKOR_01!Z9</f>
        <v>0</v>
      </c>
      <c r="AA7" s="55" t="str">
        <f>SUM(G7:Z7)</f>
        <v>0</v>
      </c>
      <c r="AB7" s="55" t="str">
        <f>20-AA7</f>
        <v>0</v>
      </c>
      <c r="AC7" s="55" t="str">
        <f>IF(20=0,0,AA7/20*100)</f>
        <v>0</v>
      </c>
      <c r="AD7" s="55" t="str">
        <f>IF(F7="tidak_hadir","TIDAK HADIR",IF(AC7&gt;=75,"TERCAPAI","PERLU PENINGKATAN"))</f>
        <v>0</v>
      </c>
    </row>
    <row r="8" spans="1:30" customHeight="1" ht="24">
      <c r="A8" s="55">
        <v>4</v>
      </c>
      <c r="B8" s="55" t="str">
        <f>INPUT_SKOR_01!B10</f>
        <v>0</v>
      </c>
      <c r="C8" s="55" t="str">
        <f>INPUT_SKOR_01!C10</f>
        <v>0</v>
      </c>
      <c r="D8" s="64" t="str">
        <f>INPUT_SKOR_01!D10</f>
        <v>0</v>
      </c>
      <c r="E8" s="55" t="str">
        <f>INPUT_SKOR_01!E10</f>
        <v>0</v>
      </c>
      <c r="F8" s="55" t="str">
        <f>INPUT_SKOR_01!F10</f>
        <v>0</v>
      </c>
      <c r="G8" s="55" t="str">
        <f>INPUT_SKOR_01!G10</f>
        <v>0</v>
      </c>
      <c r="H8" s="55" t="str">
        <f>INPUT_SKOR_01!H10</f>
        <v>0</v>
      </c>
      <c r="I8" s="55" t="str">
        <f>INPUT_SKOR_01!I10</f>
        <v>0</v>
      </c>
      <c r="J8" s="55" t="str">
        <f>INPUT_SKOR_01!J10</f>
        <v>0</v>
      </c>
      <c r="K8" s="55" t="str">
        <f>INPUT_SKOR_01!K10</f>
        <v>0</v>
      </c>
      <c r="L8" s="55" t="str">
        <f>INPUT_SKOR_01!L10</f>
        <v>0</v>
      </c>
      <c r="M8" s="55" t="str">
        <f>INPUT_SKOR_01!M10</f>
        <v>0</v>
      </c>
      <c r="N8" s="55" t="str">
        <f>INPUT_SKOR_01!N10</f>
        <v>0</v>
      </c>
      <c r="O8" s="55" t="str">
        <f>INPUT_SKOR_01!O10</f>
        <v>0</v>
      </c>
      <c r="P8" s="55" t="str">
        <f>INPUT_SKOR_01!P10</f>
        <v>0</v>
      </c>
      <c r="Q8" s="55" t="str">
        <f>INPUT_SKOR_01!Q10</f>
        <v>0</v>
      </c>
      <c r="R8" s="55" t="str">
        <f>INPUT_SKOR_01!R10</f>
        <v>0</v>
      </c>
      <c r="S8" s="55" t="str">
        <f>INPUT_SKOR_01!S10</f>
        <v>0</v>
      </c>
      <c r="T8" s="55" t="str">
        <f>INPUT_SKOR_01!T10</f>
        <v>0</v>
      </c>
      <c r="U8" s="55" t="str">
        <f>INPUT_SKOR_01!U10</f>
        <v>0</v>
      </c>
      <c r="V8" s="55" t="str">
        <f>INPUT_SKOR_01!V10</f>
        <v>0</v>
      </c>
      <c r="W8" s="55" t="str">
        <f>INPUT_SKOR_01!W10</f>
        <v>0</v>
      </c>
      <c r="X8" s="55" t="str">
        <f>INPUT_SKOR_01!X10</f>
        <v>0</v>
      </c>
      <c r="Y8" s="55" t="str">
        <f>INPUT_SKOR_01!Y10</f>
        <v>0</v>
      </c>
      <c r="Z8" s="55" t="str">
        <f>INPUT_SKOR_01!Z10</f>
        <v>0</v>
      </c>
      <c r="AA8" s="55" t="str">
        <f>SUM(G8:Z8)</f>
        <v>0</v>
      </c>
      <c r="AB8" s="55" t="str">
        <f>20-AA8</f>
        <v>0</v>
      </c>
      <c r="AC8" s="55" t="str">
        <f>IF(20=0,0,AA8/20*100)</f>
        <v>0</v>
      </c>
      <c r="AD8" s="55" t="str">
        <f>IF(F8="tidak_hadir","TIDAK HADIR",IF(AC8&gt;=75,"TERCAPAI","PERLU PENINGKATAN"))</f>
        <v>0</v>
      </c>
    </row>
    <row r="9" spans="1:30" customHeight="1" ht="24">
      <c r="A9" s="55">
        <v>5</v>
      </c>
      <c r="B9" s="55" t="str">
        <f>INPUT_SKOR_01!B11</f>
        <v>0</v>
      </c>
      <c r="C9" s="55" t="str">
        <f>INPUT_SKOR_01!C11</f>
        <v>0</v>
      </c>
      <c r="D9" s="64" t="str">
        <f>INPUT_SKOR_01!D11</f>
        <v>0</v>
      </c>
      <c r="E9" s="55" t="str">
        <f>INPUT_SKOR_01!E11</f>
        <v>0</v>
      </c>
      <c r="F9" s="55" t="str">
        <f>INPUT_SKOR_01!F11</f>
        <v>0</v>
      </c>
      <c r="G9" s="55" t="str">
        <f>INPUT_SKOR_01!G11</f>
        <v>0</v>
      </c>
      <c r="H9" s="55" t="str">
        <f>INPUT_SKOR_01!H11</f>
        <v>0</v>
      </c>
      <c r="I9" s="55" t="str">
        <f>INPUT_SKOR_01!I11</f>
        <v>0</v>
      </c>
      <c r="J9" s="55" t="str">
        <f>INPUT_SKOR_01!J11</f>
        <v>0</v>
      </c>
      <c r="K9" s="55" t="str">
        <f>INPUT_SKOR_01!K11</f>
        <v>0</v>
      </c>
      <c r="L9" s="55" t="str">
        <f>INPUT_SKOR_01!L11</f>
        <v>0</v>
      </c>
      <c r="M9" s="55" t="str">
        <f>INPUT_SKOR_01!M11</f>
        <v>0</v>
      </c>
      <c r="N9" s="55" t="str">
        <f>INPUT_SKOR_01!N11</f>
        <v>0</v>
      </c>
      <c r="O9" s="55" t="str">
        <f>INPUT_SKOR_01!O11</f>
        <v>0</v>
      </c>
      <c r="P9" s="55" t="str">
        <f>INPUT_SKOR_01!P11</f>
        <v>0</v>
      </c>
      <c r="Q9" s="55" t="str">
        <f>INPUT_SKOR_01!Q11</f>
        <v>0</v>
      </c>
      <c r="R9" s="55" t="str">
        <f>INPUT_SKOR_01!R11</f>
        <v>0</v>
      </c>
      <c r="S9" s="55" t="str">
        <f>INPUT_SKOR_01!S11</f>
        <v>0</v>
      </c>
      <c r="T9" s="55" t="str">
        <f>INPUT_SKOR_01!T11</f>
        <v>0</v>
      </c>
      <c r="U9" s="55" t="str">
        <f>INPUT_SKOR_01!U11</f>
        <v>0</v>
      </c>
      <c r="V9" s="55" t="str">
        <f>INPUT_SKOR_01!V11</f>
        <v>0</v>
      </c>
      <c r="W9" s="55" t="str">
        <f>INPUT_SKOR_01!W11</f>
        <v>0</v>
      </c>
      <c r="X9" s="55" t="str">
        <f>INPUT_SKOR_01!X11</f>
        <v>0</v>
      </c>
      <c r="Y9" s="55" t="str">
        <f>INPUT_SKOR_01!Y11</f>
        <v>0</v>
      </c>
      <c r="Z9" s="55" t="str">
        <f>INPUT_SKOR_01!Z11</f>
        <v>0</v>
      </c>
      <c r="AA9" s="55" t="str">
        <f>SUM(G9:Z9)</f>
        <v>0</v>
      </c>
      <c r="AB9" s="55" t="str">
        <f>20-AA9</f>
        <v>0</v>
      </c>
      <c r="AC9" s="55" t="str">
        <f>IF(20=0,0,AA9/20*100)</f>
        <v>0</v>
      </c>
      <c r="AD9" s="55" t="str">
        <f>IF(F9="tidak_hadir","TIDAK HADIR",IF(AC9&gt;=75,"TERCAPAI","PERLU PENINGKATAN"))</f>
        <v>0</v>
      </c>
    </row>
    <row r="10" spans="1:30" customHeight="1" ht="24">
      <c r="A10" s="55">
        <v>6</v>
      </c>
      <c r="B10" s="55" t="str">
        <f>INPUT_SKOR_01!B12</f>
        <v>0</v>
      </c>
      <c r="C10" s="55" t="str">
        <f>INPUT_SKOR_01!C12</f>
        <v>0</v>
      </c>
      <c r="D10" s="64" t="str">
        <f>INPUT_SKOR_01!D12</f>
        <v>0</v>
      </c>
      <c r="E10" s="55" t="str">
        <f>INPUT_SKOR_01!E12</f>
        <v>0</v>
      </c>
      <c r="F10" s="55" t="str">
        <f>INPUT_SKOR_01!F12</f>
        <v>0</v>
      </c>
      <c r="G10" s="55" t="str">
        <f>INPUT_SKOR_01!G12</f>
        <v>0</v>
      </c>
      <c r="H10" s="55" t="str">
        <f>INPUT_SKOR_01!H12</f>
        <v>0</v>
      </c>
      <c r="I10" s="55" t="str">
        <f>INPUT_SKOR_01!I12</f>
        <v>0</v>
      </c>
      <c r="J10" s="55" t="str">
        <f>INPUT_SKOR_01!J12</f>
        <v>0</v>
      </c>
      <c r="K10" s="55" t="str">
        <f>INPUT_SKOR_01!K12</f>
        <v>0</v>
      </c>
      <c r="L10" s="55" t="str">
        <f>INPUT_SKOR_01!L12</f>
        <v>0</v>
      </c>
      <c r="M10" s="55" t="str">
        <f>INPUT_SKOR_01!M12</f>
        <v>0</v>
      </c>
      <c r="N10" s="55" t="str">
        <f>INPUT_SKOR_01!N12</f>
        <v>0</v>
      </c>
      <c r="O10" s="55" t="str">
        <f>INPUT_SKOR_01!O12</f>
        <v>0</v>
      </c>
      <c r="P10" s="55" t="str">
        <f>INPUT_SKOR_01!P12</f>
        <v>0</v>
      </c>
      <c r="Q10" s="55" t="str">
        <f>INPUT_SKOR_01!Q12</f>
        <v>0</v>
      </c>
      <c r="R10" s="55" t="str">
        <f>INPUT_SKOR_01!R12</f>
        <v>0</v>
      </c>
      <c r="S10" s="55" t="str">
        <f>INPUT_SKOR_01!S12</f>
        <v>0</v>
      </c>
      <c r="T10" s="55" t="str">
        <f>INPUT_SKOR_01!T12</f>
        <v>0</v>
      </c>
      <c r="U10" s="55" t="str">
        <f>INPUT_SKOR_01!U12</f>
        <v>0</v>
      </c>
      <c r="V10" s="55" t="str">
        <f>INPUT_SKOR_01!V12</f>
        <v>0</v>
      </c>
      <c r="W10" s="55" t="str">
        <f>INPUT_SKOR_01!W12</f>
        <v>0</v>
      </c>
      <c r="X10" s="55" t="str">
        <f>INPUT_SKOR_01!X12</f>
        <v>0</v>
      </c>
      <c r="Y10" s="55" t="str">
        <f>INPUT_SKOR_01!Y12</f>
        <v>0</v>
      </c>
      <c r="Z10" s="55" t="str">
        <f>INPUT_SKOR_01!Z12</f>
        <v>0</v>
      </c>
      <c r="AA10" s="55" t="str">
        <f>SUM(G10:Z10)</f>
        <v>0</v>
      </c>
      <c r="AB10" s="55" t="str">
        <f>20-AA10</f>
        <v>0</v>
      </c>
      <c r="AC10" s="55" t="str">
        <f>IF(20=0,0,AA10/20*100)</f>
        <v>0</v>
      </c>
      <c r="AD10" s="55" t="str">
        <f>IF(F10="tidak_hadir","TIDAK HADIR",IF(AC10&gt;=75,"TERCAPAI","PERLU PENINGKATAN"))</f>
        <v>0</v>
      </c>
    </row>
    <row r="11" spans="1:30" customHeight="1" ht="24">
      <c r="A11" s="55">
        <v>7</v>
      </c>
      <c r="B11" s="55" t="str">
        <f>INPUT_SKOR_01!B13</f>
        <v>0</v>
      </c>
      <c r="C11" s="55" t="str">
        <f>INPUT_SKOR_01!C13</f>
        <v>0</v>
      </c>
      <c r="D11" s="64" t="str">
        <f>INPUT_SKOR_01!D13</f>
        <v>0</v>
      </c>
      <c r="E11" s="55" t="str">
        <f>INPUT_SKOR_01!E13</f>
        <v>0</v>
      </c>
      <c r="F11" s="55" t="str">
        <f>INPUT_SKOR_01!F13</f>
        <v>0</v>
      </c>
      <c r="G11" s="55" t="str">
        <f>INPUT_SKOR_01!G13</f>
        <v>0</v>
      </c>
      <c r="H11" s="55" t="str">
        <f>INPUT_SKOR_01!H13</f>
        <v>0</v>
      </c>
      <c r="I11" s="55" t="str">
        <f>INPUT_SKOR_01!I13</f>
        <v>0</v>
      </c>
      <c r="J11" s="55" t="str">
        <f>INPUT_SKOR_01!J13</f>
        <v>0</v>
      </c>
      <c r="K11" s="55" t="str">
        <f>INPUT_SKOR_01!K13</f>
        <v>0</v>
      </c>
      <c r="L11" s="55" t="str">
        <f>INPUT_SKOR_01!L13</f>
        <v>0</v>
      </c>
      <c r="M11" s="55" t="str">
        <f>INPUT_SKOR_01!M13</f>
        <v>0</v>
      </c>
      <c r="N11" s="55" t="str">
        <f>INPUT_SKOR_01!N13</f>
        <v>0</v>
      </c>
      <c r="O11" s="55" t="str">
        <f>INPUT_SKOR_01!O13</f>
        <v>0</v>
      </c>
      <c r="P11" s="55" t="str">
        <f>INPUT_SKOR_01!P13</f>
        <v>0</v>
      </c>
      <c r="Q11" s="55" t="str">
        <f>INPUT_SKOR_01!Q13</f>
        <v>0</v>
      </c>
      <c r="R11" s="55" t="str">
        <f>INPUT_SKOR_01!R13</f>
        <v>0</v>
      </c>
      <c r="S11" s="55" t="str">
        <f>INPUT_SKOR_01!S13</f>
        <v>0</v>
      </c>
      <c r="T11" s="55" t="str">
        <f>INPUT_SKOR_01!T13</f>
        <v>0</v>
      </c>
      <c r="U11" s="55" t="str">
        <f>INPUT_SKOR_01!U13</f>
        <v>0</v>
      </c>
      <c r="V11" s="55" t="str">
        <f>INPUT_SKOR_01!V13</f>
        <v>0</v>
      </c>
      <c r="W11" s="55" t="str">
        <f>INPUT_SKOR_01!W13</f>
        <v>0</v>
      </c>
      <c r="X11" s="55" t="str">
        <f>INPUT_SKOR_01!X13</f>
        <v>0</v>
      </c>
      <c r="Y11" s="55" t="str">
        <f>INPUT_SKOR_01!Y13</f>
        <v>0</v>
      </c>
      <c r="Z11" s="55" t="str">
        <f>INPUT_SKOR_01!Z13</f>
        <v>0</v>
      </c>
      <c r="AA11" s="55" t="str">
        <f>SUM(G11:Z11)</f>
        <v>0</v>
      </c>
      <c r="AB11" s="55" t="str">
        <f>20-AA11</f>
        <v>0</v>
      </c>
      <c r="AC11" s="55" t="str">
        <f>IF(20=0,0,AA11/20*100)</f>
        <v>0</v>
      </c>
      <c r="AD11" s="55" t="str">
        <f>IF(F11="tidak_hadir","TIDAK HADIR",IF(AC11&gt;=75,"TERCAPAI","PERLU PENINGKATAN"))</f>
        <v>0</v>
      </c>
    </row>
    <row r="12" spans="1:30" customHeight="1" ht="24">
      <c r="A12" s="55">
        <v>8</v>
      </c>
      <c r="B12" s="55" t="str">
        <f>INPUT_SKOR_01!B14</f>
        <v>0</v>
      </c>
      <c r="C12" s="55" t="str">
        <f>INPUT_SKOR_01!C14</f>
        <v>0</v>
      </c>
      <c r="D12" s="64" t="str">
        <f>INPUT_SKOR_01!D14</f>
        <v>0</v>
      </c>
      <c r="E12" s="55" t="str">
        <f>INPUT_SKOR_01!E14</f>
        <v>0</v>
      </c>
      <c r="F12" s="55" t="str">
        <f>INPUT_SKOR_01!F14</f>
        <v>0</v>
      </c>
      <c r="G12" s="55" t="str">
        <f>INPUT_SKOR_01!G14</f>
        <v>0</v>
      </c>
      <c r="H12" s="55" t="str">
        <f>INPUT_SKOR_01!H14</f>
        <v>0</v>
      </c>
      <c r="I12" s="55" t="str">
        <f>INPUT_SKOR_01!I14</f>
        <v>0</v>
      </c>
      <c r="J12" s="55" t="str">
        <f>INPUT_SKOR_01!J14</f>
        <v>0</v>
      </c>
      <c r="K12" s="55" t="str">
        <f>INPUT_SKOR_01!K14</f>
        <v>0</v>
      </c>
      <c r="L12" s="55" t="str">
        <f>INPUT_SKOR_01!L14</f>
        <v>0</v>
      </c>
      <c r="M12" s="55" t="str">
        <f>INPUT_SKOR_01!M14</f>
        <v>0</v>
      </c>
      <c r="N12" s="55" t="str">
        <f>INPUT_SKOR_01!N14</f>
        <v>0</v>
      </c>
      <c r="O12" s="55" t="str">
        <f>INPUT_SKOR_01!O14</f>
        <v>0</v>
      </c>
      <c r="P12" s="55" t="str">
        <f>INPUT_SKOR_01!P14</f>
        <v>0</v>
      </c>
      <c r="Q12" s="55" t="str">
        <f>INPUT_SKOR_01!Q14</f>
        <v>0</v>
      </c>
      <c r="R12" s="55" t="str">
        <f>INPUT_SKOR_01!R14</f>
        <v>0</v>
      </c>
      <c r="S12" s="55" t="str">
        <f>INPUT_SKOR_01!S14</f>
        <v>0</v>
      </c>
      <c r="T12" s="55" t="str">
        <f>INPUT_SKOR_01!T14</f>
        <v>0</v>
      </c>
      <c r="U12" s="55" t="str">
        <f>INPUT_SKOR_01!U14</f>
        <v>0</v>
      </c>
      <c r="V12" s="55" t="str">
        <f>INPUT_SKOR_01!V14</f>
        <v>0</v>
      </c>
      <c r="W12" s="55" t="str">
        <f>INPUT_SKOR_01!W14</f>
        <v>0</v>
      </c>
      <c r="X12" s="55" t="str">
        <f>INPUT_SKOR_01!X14</f>
        <v>0</v>
      </c>
      <c r="Y12" s="55" t="str">
        <f>INPUT_SKOR_01!Y14</f>
        <v>0</v>
      </c>
      <c r="Z12" s="55" t="str">
        <f>INPUT_SKOR_01!Z14</f>
        <v>0</v>
      </c>
      <c r="AA12" s="55" t="str">
        <f>SUM(G12:Z12)</f>
        <v>0</v>
      </c>
      <c r="AB12" s="55" t="str">
        <f>20-AA12</f>
        <v>0</v>
      </c>
      <c r="AC12" s="55" t="str">
        <f>IF(20=0,0,AA12/20*100)</f>
        <v>0</v>
      </c>
      <c r="AD12" s="55" t="str">
        <f>IF(F12="tidak_hadir","TIDAK HADIR",IF(AC12&gt;=75,"TERCAPAI","PERLU PENINGKATAN"))</f>
        <v>0</v>
      </c>
    </row>
    <row r="13" spans="1:30" customHeight="1" ht="24">
      <c r="A13" s="55">
        <v>9</v>
      </c>
      <c r="B13" s="55" t="str">
        <f>INPUT_SKOR_01!B15</f>
        <v>0</v>
      </c>
      <c r="C13" s="55" t="str">
        <f>INPUT_SKOR_01!C15</f>
        <v>0</v>
      </c>
      <c r="D13" s="64" t="str">
        <f>INPUT_SKOR_01!D15</f>
        <v>0</v>
      </c>
      <c r="E13" s="55" t="str">
        <f>INPUT_SKOR_01!E15</f>
        <v>0</v>
      </c>
      <c r="F13" s="55" t="str">
        <f>INPUT_SKOR_01!F15</f>
        <v>0</v>
      </c>
      <c r="G13" s="55" t="str">
        <f>INPUT_SKOR_01!G15</f>
        <v>0</v>
      </c>
      <c r="H13" s="55" t="str">
        <f>INPUT_SKOR_01!H15</f>
        <v>0</v>
      </c>
      <c r="I13" s="55" t="str">
        <f>INPUT_SKOR_01!I15</f>
        <v>0</v>
      </c>
      <c r="J13" s="55" t="str">
        <f>INPUT_SKOR_01!J15</f>
        <v>0</v>
      </c>
      <c r="K13" s="55" t="str">
        <f>INPUT_SKOR_01!K15</f>
        <v>0</v>
      </c>
      <c r="L13" s="55" t="str">
        <f>INPUT_SKOR_01!L15</f>
        <v>0</v>
      </c>
      <c r="M13" s="55" t="str">
        <f>INPUT_SKOR_01!M15</f>
        <v>0</v>
      </c>
      <c r="N13" s="55" t="str">
        <f>INPUT_SKOR_01!N15</f>
        <v>0</v>
      </c>
      <c r="O13" s="55" t="str">
        <f>INPUT_SKOR_01!O15</f>
        <v>0</v>
      </c>
      <c r="P13" s="55" t="str">
        <f>INPUT_SKOR_01!P15</f>
        <v>0</v>
      </c>
      <c r="Q13" s="55" t="str">
        <f>INPUT_SKOR_01!Q15</f>
        <v>0</v>
      </c>
      <c r="R13" s="55" t="str">
        <f>INPUT_SKOR_01!R15</f>
        <v>0</v>
      </c>
      <c r="S13" s="55" t="str">
        <f>INPUT_SKOR_01!S15</f>
        <v>0</v>
      </c>
      <c r="T13" s="55" t="str">
        <f>INPUT_SKOR_01!T15</f>
        <v>0</v>
      </c>
      <c r="U13" s="55" t="str">
        <f>INPUT_SKOR_01!U15</f>
        <v>0</v>
      </c>
      <c r="V13" s="55" t="str">
        <f>INPUT_SKOR_01!V15</f>
        <v>0</v>
      </c>
      <c r="W13" s="55" t="str">
        <f>INPUT_SKOR_01!W15</f>
        <v>0</v>
      </c>
      <c r="X13" s="55" t="str">
        <f>INPUT_SKOR_01!X15</f>
        <v>0</v>
      </c>
      <c r="Y13" s="55" t="str">
        <f>INPUT_SKOR_01!Y15</f>
        <v>0</v>
      </c>
      <c r="Z13" s="55" t="str">
        <f>INPUT_SKOR_01!Z15</f>
        <v>0</v>
      </c>
      <c r="AA13" s="55" t="str">
        <f>SUM(G13:Z13)</f>
        <v>0</v>
      </c>
      <c r="AB13" s="55" t="str">
        <f>20-AA13</f>
        <v>0</v>
      </c>
      <c r="AC13" s="55" t="str">
        <f>IF(20=0,0,AA13/20*100)</f>
        <v>0</v>
      </c>
      <c r="AD13" s="55" t="str">
        <f>IF(F13="tidak_hadir","TIDAK HADIR",IF(AC13&gt;=75,"TERCAPAI","PERLU PENINGKATAN"))</f>
        <v>0</v>
      </c>
    </row>
    <row r="14" spans="1:30" customHeight="1" ht="24">
      <c r="A14" s="55">
        <v>10</v>
      </c>
      <c r="B14" s="55" t="str">
        <f>INPUT_SKOR_01!B16</f>
        <v>0</v>
      </c>
      <c r="C14" s="55" t="str">
        <f>INPUT_SKOR_01!C16</f>
        <v>0</v>
      </c>
      <c r="D14" s="64" t="str">
        <f>INPUT_SKOR_01!D16</f>
        <v>0</v>
      </c>
      <c r="E14" s="55" t="str">
        <f>INPUT_SKOR_01!E16</f>
        <v>0</v>
      </c>
      <c r="F14" s="55" t="str">
        <f>INPUT_SKOR_01!F16</f>
        <v>0</v>
      </c>
      <c r="G14" s="55" t="str">
        <f>INPUT_SKOR_01!G16</f>
        <v>0</v>
      </c>
      <c r="H14" s="55" t="str">
        <f>INPUT_SKOR_01!H16</f>
        <v>0</v>
      </c>
      <c r="I14" s="55" t="str">
        <f>INPUT_SKOR_01!I16</f>
        <v>0</v>
      </c>
      <c r="J14" s="55" t="str">
        <f>INPUT_SKOR_01!J16</f>
        <v>0</v>
      </c>
      <c r="K14" s="55" t="str">
        <f>INPUT_SKOR_01!K16</f>
        <v>0</v>
      </c>
      <c r="L14" s="55" t="str">
        <f>INPUT_SKOR_01!L16</f>
        <v>0</v>
      </c>
      <c r="M14" s="55" t="str">
        <f>INPUT_SKOR_01!M16</f>
        <v>0</v>
      </c>
      <c r="N14" s="55" t="str">
        <f>INPUT_SKOR_01!N16</f>
        <v>0</v>
      </c>
      <c r="O14" s="55" t="str">
        <f>INPUT_SKOR_01!O16</f>
        <v>0</v>
      </c>
      <c r="P14" s="55" t="str">
        <f>INPUT_SKOR_01!P16</f>
        <v>0</v>
      </c>
      <c r="Q14" s="55" t="str">
        <f>INPUT_SKOR_01!Q16</f>
        <v>0</v>
      </c>
      <c r="R14" s="55" t="str">
        <f>INPUT_SKOR_01!R16</f>
        <v>0</v>
      </c>
      <c r="S14" s="55" t="str">
        <f>INPUT_SKOR_01!S16</f>
        <v>0</v>
      </c>
      <c r="T14" s="55" t="str">
        <f>INPUT_SKOR_01!T16</f>
        <v>0</v>
      </c>
      <c r="U14" s="55" t="str">
        <f>INPUT_SKOR_01!U16</f>
        <v>0</v>
      </c>
      <c r="V14" s="55" t="str">
        <f>INPUT_SKOR_01!V16</f>
        <v>0</v>
      </c>
      <c r="W14" s="55" t="str">
        <f>INPUT_SKOR_01!W16</f>
        <v>0</v>
      </c>
      <c r="X14" s="55" t="str">
        <f>INPUT_SKOR_01!X16</f>
        <v>0</v>
      </c>
      <c r="Y14" s="55" t="str">
        <f>INPUT_SKOR_01!Y16</f>
        <v>0</v>
      </c>
      <c r="Z14" s="55" t="str">
        <f>INPUT_SKOR_01!Z16</f>
        <v>0</v>
      </c>
      <c r="AA14" s="55" t="str">
        <f>SUM(G14:Z14)</f>
        <v>0</v>
      </c>
      <c r="AB14" s="55" t="str">
        <f>20-AA14</f>
        <v>0</v>
      </c>
      <c r="AC14" s="55" t="str">
        <f>IF(20=0,0,AA14/20*100)</f>
        <v>0</v>
      </c>
      <c r="AD14" s="55" t="str">
        <f>IF(F14="tidak_hadir","TIDAK HADIR",IF(AC14&gt;=75,"TERCAPAI","PERLU PENINGKATAN"))</f>
        <v>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>&amp;L&amp;BHASIL T1&amp;R&amp;D &amp;T</oddHeader>
    <oddFooter>&amp;L&amp;"Calibri,Regular"&amp;8SIABSoal - SMPN 2 Tasikmalaya&amp;C&amp;P / &amp;N&amp;R&amp;"Calibri,Regular"&amp;8Dicetak: &amp;D</oddFooter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C27B0"/>
    <outlinePr summaryBelow="1" summaryRight="1"/>
  </sheetPr>
  <dimension ref="A1:H14"/>
  <sheetViews>
    <sheetView tabSelected="0" workbookViewId="0" showGridLines="false" showRowColHeaders="1">
      <pane ySplit="4" topLeftCell="A5" activePane="bottomLeft" state="frozen"/>
      <selection pane="bottomLeft" activeCell="D5" sqref="D5:D14"/>
    </sheetView>
  </sheetViews>
  <sheetFormatPr defaultRowHeight="14.4" outlineLevelRow="0" outlineLevelCol="0"/>
  <cols>
    <col min="1" max="1" width="10" customWidth="true" style="0"/>
    <col min="2" max="2" width="16" customWidth="true" style="0"/>
    <col min="3" max="3" width="18" customWidth="true" style="0"/>
    <col min="4" max="4" width="32" customWidth="true" style="0"/>
    <col min="5" max="5" width="14" customWidth="true" style="0"/>
    <col min="6" max="6" width="18" customWidth="true" style="0"/>
    <col min="7" max="7" width="12" customWidth="true" style="0"/>
    <col min="8" max="8" width="14" customWidth="true" style="0"/>
  </cols>
  <sheetData>
    <row r="1" spans="1:8" customHeight="1" ht="32">
      <c r="A1" s="15" t="s">
        <v>189</v>
      </c>
      <c r="B1" s="15"/>
      <c r="C1" s="15"/>
      <c r="D1" s="15"/>
      <c r="E1" s="15"/>
      <c r="F1" s="15"/>
      <c r="G1" s="15"/>
      <c r="H1" s="15"/>
    </row>
    <row r="4" spans="1:8">
      <c r="A4" s="57" t="s">
        <v>190</v>
      </c>
      <c r="B4" s="57" t="s">
        <v>80</v>
      </c>
      <c r="C4" s="57" t="s">
        <v>81</v>
      </c>
      <c r="D4" s="57" t="s">
        <v>82</v>
      </c>
      <c r="E4" s="57" t="s">
        <v>83</v>
      </c>
      <c r="F4" s="57" t="s">
        <v>140</v>
      </c>
      <c r="G4" s="57" t="s">
        <v>185</v>
      </c>
      <c r="H4" s="57" t="s">
        <v>191</v>
      </c>
    </row>
    <row r="5" spans="1:8" customHeight="1" ht="24">
      <c r="A5" s="55" t="str">
        <f>IF(G5="","",_xlfn.RANK.EQ(G5,G5:G14,0))</f>
        <v>0</v>
      </c>
      <c r="B5" s="55" t="str">
        <f>HASIL_T1!B5</f>
        <v>0</v>
      </c>
      <c r="C5" s="55" t="str">
        <f>HASIL_T1!C5</f>
        <v>0</v>
      </c>
      <c r="D5" s="64" t="str">
        <f>HASIL_T1!D5</f>
        <v>0</v>
      </c>
      <c r="E5" s="55" t="str">
        <f>HASIL_T1!E5</f>
        <v>0</v>
      </c>
      <c r="F5" s="55" t="str">
        <f>HASIL_T1!F5</f>
        <v>0</v>
      </c>
      <c r="G5" s="55" t="str">
        <f>HASIL_T1!AC5</f>
        <v>0</v>
      </c>
      <c r="H5" s="55" t="str">
        <f>IF(F5&lt;&gt;"hadir","tengah",IF(A5&lt;=ROUNDUP(COUNTA(D5:D14)*0.27,0),"atas",IF(A5&gt;COUNTA(D5:D14)-ROUNDUP(COUNTA(D5:D14)*0.27,0),"bawah","tengah")))</f>
        <v>0</v>
      </c>
    </row>
    <row r="6" spans="1:8" customHeight="1" ht="24">
      <c r="A6" s="55" t="str">
        <f>IF(G6="","",_xlfn.RANK.EQ(G6,G5:G14,0))</f>
        <v>0</v>
      </c>
      <c r="B6" s="55" t="str">
        <f>HASIL_T1!B6</f>
        <v>0</v>
      </c>
      <c r="C6" s="55" t="str">
        <f>HASIL_T1!C6</f>
        <v>0</v>
      </c>
      <c r="D6" s="64" t="str">
        <f>HASIL_T1!D6</f>
        <v>0</v>
      </c>
      <c r="E6" s="55" t="str">
        <f>HASIL_T1!E6</f>
        <v>0</v>
      </c>
      <c r="F6" s="55" t="str">
        <f>HASIL_T1!F6</f>
        <v>0</v>
      </c>
      <c r="G6" s="55" t="str">
        <f>HASIL_T1!AC6</f>
        <v>0</v>
      </c>
      <c r="H6" s="55" t="str">
        <f>IF(F6&lt;&gt;"hadir","tengah",IF(A6&lt;=ROUNDUP(COUNTA(D5:D14)*0.27,0),"atas",IF(A6&gt;COUNTA(D5:D14)-ROUNDUP(COUNTA(D5:D14)*0.27,0),"bawah","tengah")))</f>
        <v>0</v>
      </c>
    </row>
    <row r="7" spans="1:8" customHeight="1" ht="24">
      <c r="A7" s="55" t="str">
        <f>IF(G7="","",_xlfn.RANK.EQ(G7,G5:G14,0))</f>
        <v>0</v>
      </c>
      <c r="B7" s="55" t="str">
        <f>HASIL_T1!B7</f>
        <v>0</v>
      </c>
      <c r="C7" s="55" t="str">
        <f>HASIL_T1!C7</f>
        <v>0</v>
      </c>
      <c r="D7" s="64" t="str">
        <f>HASIL_T1!D7</f>
        <v>0</v>
      </c>
      <c r="E7" s="55" t="str">
        <f>HASIL_T1!E7</f>
        <v>0</v>
      </c>
      <c r="F7" s="55" t="str">
        <f>HASIL_T1!F7</f>
        <v>0</v>
      </c>
      <c r="G7" s="55" t="str">
        <f>HASIL_T1!AC7</f>
        <v>0</v>
      </c>
      <c r="H7" s="55" t="str">
        <f>IF(F7&lt;&gt;"hadir","tengah",IF(A7&lt;=ROUNDUP(COUNTA(D5:D14)*0.27,0),"atas",IF(A7&gt;COUNTA(D5:D14)-ROUNDUP(COUNTA(D5:D14)*0.27,0),"bawah","tengah")))</f>
        <v>0</v>
      </c>
    </row>
    <row r="8" spans="1:8" customHeight="1" ht="24">
      <c r="A8" s="55" t="str">
        <f>IF(G8="","",_xlfn.RANK.EQ(G8,G5:G14,0))</f>
        <v>0</v>
      </c>
      <c r="B8" s="55" t="str">
        <f>HASIL_T1!B8</f>
        <v>0</v>
      </c>
      <c r="C8" s="55" t="str">
        <f>HASIL_T1!C8</f>
        <v>0</v>
      </c>
      <c r="D8" s="64" t="str">
        <f>HASIL_T1!D8</f>
        <v>0</v>
      </c>
      <c r="E8" s="55" t="str">
        <f>HASIL_T1!E8</f>
        <v>0</v>
      </c>
      <c r="F8" s="55" t="str">
        <f>HASIL_T1!F8</f>
        <v>0</v>
      </c>
      <c r="G8" s="55" t="str">
        <f>HASIL_T1!AC8</f>
        <v>0</v>
      </c>
      <c r="H8" s="55" t="str">
        <f>IF(F8&lt;&gt;"hadir","tengah",IF(A8&lt;=ROUNDUP(COUNTA(D5:D14)*0.27,0),"atas",IF(A8&gt;COUNTA(D5:D14)-ROUNDUP(COUNTA(D5:D14)*0.27,0),"bawah","tengah")))</f>
        <v>0</v>
      </c>
    </row>
    <row r="9" spans="1:8" customHeight="1" ht="24">
      <c r="A9" s="55" t="str">
        <f>IF(G9="","",_xlfn.RANK.EQ(G9,G5:G14,0))</f>
        <v>0</v>
      </c>
      <c r="B9" s="55" t="str">
        <f>HASIL_T1!B9</f>
        <v>0</v>
      </c>
      <c r="C9" s="55" t="str">
        <f>HASIL_T1!C9</f>
        <v>0</v>
      </c>
      <c r="D9" s="64" t="str">
        <f>HASIL_T1!D9</f>
        <v>0</v>
      </c>
      <c r="E9" s="55" t="str">
        <f>HASIL_T1!E9</f>
        <v>0</v>
      </c>
      <c r="F9" s="55" t="str">
        <f>HASIL_T1!F9</f>
        <v>0</v>
      </c>
      <c r="G9" s="55" t="str">
        <f>HASIL_T1!AC9</f>
        <v>0</v>
      </c>
      <c r="H9" s="55" t="str">
        <f>IF(F9&lt;&gt;"hadir","tengah",IF(A9&lt;=ROUNDUP(COUNTA(D5:D14)*0.27,0),"atas",IF(A9&gt;COUNTA(D5:D14)-ROUNDUP(COUNTA(D5:D14)*0.27,0),"bawah","tengah")))</f>
        <v>0</v>
      </c>
    </row>
    <row r="10" spans="1:8" customHeight="1" ht="24">
      <c r="A10" s="55" t="str">
        <f>IF(G10="","",_xlfn.RANK.EQ(G10,G5:G14,0))</f>
        <v>0</v>
      </c>
      <c r="B10" s="55" t="str">
        <f>HASIL_T1!B10</f>
        <v>0</v>
      </c>
      <c r="C10" s="55" t="str">
        <f>HASIL_T1!C10</f>
        <v>0</v>
      </c>
      <c r="D10" s="64" t="str">
        <f>HASIL_T1!D10</f>
        <v>0</v>
      </c>
      <c r="E10" s="55" t="str">
        <f>HASIL_T1!E10</f>
        <v>0</v>
      </c>
      <c r="F10" s="55" t="str">
        <f>HASIL_T1!F10</f>
        <v>0</v>
      </c>
      <c r="G10" s="55" t="str">
        <f>HASIL_T1!AC10</f>
        <v>0</v>
      </c>
      <c r="H10" s="55" t="str">
        <f>IF(F10&lt;&gt;"hadir","tengah",IF(A10&lt;=ROUNDUP(COUNTA(D5:D14)*0.27,0),"atas",IF(A10&gt;COUNTA(D5:D14)-ROUNDUP(COUNTA(D5:D14)*0.27,0),"bawah","tengah")))</f>
        <v>0</v>
      </c>
    </row>
    <row r="11" spans="1:8" customHeight="1" ht="24">
      <c r="A11" s="55" t="str">
        <f>IF(G11="","",_xlfn.RANK.EQ(G11,G5:G14,0))</f>
        <v>0</v>
      </c>
      <c r="B11" s="55" t="str">
        <f>HASIL_T1!B11</f>
        <v>0</v>
      </c>
      <c r="C11" s="55" t="str">
        <f>HASIL_T1!C11</f>
        <v>0</v>
      </c>
      <c r="D11" s="64" t="str">
        <f>HASIL_T1!D11</f>
        <v>0</v>
      </c>
      <c r="E11" s="55" t="str">
        <f>HASIL_T1!E11</f>
        <v>0</v>
      </c>
      <c r="F11" s="55" t="str">
        <f>HASIL_T1!F11</f>
        <v>0</v>
      </c>
      <c r="G11" s="55" t="str">
        <f>HASIL_T1!AC11</f>
        <v>0</v>
      </c>
      <c r="H11" s="55" t="str">
        <f>IF(F11&lt;&gt;"hadir","tengah",IF(A11&lt;=ROUNDUP(COUNTA(D5:D14)*0.27,0),"atas",IF(A11&gt;COUNTA(D5:D14)-ROUNDUP(COUNTA(D5:D14)*0.27,0),"bawah","tengah")))</f>
        <v>0</v>
      </c>
    </row>
    <row r="12" spans="1:8" customHeight="1" ht="24">
      <c r="A12" s="55" t="str">
        <f>IF(G12="","",_xlfn.RANK.EQ(G12,G5:G14,0))</f>
        <v>0</v>
      </c>
      <c r="B12" s="55" t="str">
        <f>HASIL_T1!B12</f>
        <v>0</v>
      </c>
      <c r="C12" s="55" t="str">
        <f>HASIL_T1!C12</f>
        <v>0</v>
      </c>
      <c r="D12" s="64" t="str">
        <f>HASIL_T1!D12</f>
        <v>0</v>
      </c>
      <c r="E12" s="55" t="str">
        <f>HASIL_T1!E12</f>
        <v>0</v>
      </c>
      <c r="F12" s="55" t="str">
        <f>HASIL_T1!F12</f>
        <v>0</v>
      </c>
      <c r="G12" s="55" t="str">
        <f>HASIL_T1!AC12</f>
        <v>0</v>
      </c>
      <c r="H12" s="55" t="str">
        <f>IF(F12&lt;&gt;"hadir","tengah",IF(A12&lt;=ROUNDUP(COUNTA(D5:D14)*0.27,0),"atas",IF(A12&gt;COUNTA(D5:D14)-ROUNDUP(COUNTA(D5:D14)*0.27,0),"bawah","tengah")))</f>
        <v>0</v>
      </c>
    </row>
    <row r="13" spans="1:8" customHeight="1" ht="24">
      <c r="A13" s="55" t="str">
        <f>IF(G13="","",_xlfn.RANK.EQ(G13,G5:G14,0))</f>
        <v>0</v>
      </c>
      <c r="B13" s="55" t="str">
        <f>HASIL_T1!B13</f>
        <v>0</v>
      </c>
      <c r="C13" s="55" t="str">
        <f>HASIL_T1!C13</f>
        <v>0</v>
      </c>
      <c r="D13" s="64" t="str">
        <f>HASIL_T1!D13</f>
        <v>0</v>
      </c>
      <c r="E13" s="55" t="str">
        <f>HASIL_T1!E13</f>
        <v>0</v>
      </c>
      <c r="F13" s="55" t="str">
        <f>HASIL_T1!F13</f>
        <v>0</v>
      </c>
      <c r="G13" s="55" t="str">
        <f>HASIL_T1!AC13</f>
        <v>0</v>
      </c>
      <c r="H13" s="55" t="str">
        <f>IF(F13&lt;&gt;"hadir","tengah",IF(A13&lt;=ROUNDUP(COUNTA(D5:D14)*0.27,0),"atas",IF(A13&gt;COUNTA(D5:D14)-ROUNDUP(COUNTA(D5:D14)*0.27,0),"bawah","tengah")))</f>
        <v>0</v>
      </c>
    </row>
    <row r="14" spans="1:8" customHeight="1" ht="24">
      <c r="A14" s="55" t="str">
        <f>IF(G14="","",_xlfn.RANK.EQ(G14,G5:G14,0))</f>
        <v>0</v>
      </c>
      <c r="B14" s="55" t="str">
        <f>HASIL_T1!B14</f>
        <v>0</v>
      </c>
      <c r="C14" s="55" t="str">
        <f>HASIL_T1!C14</f>
        <v>0</v>
      </c>
      <c r="D14" s="64" t="str">
        <f>HASIL_T1!D14</f>
        <v>0</v>
      </c>
      <c r="E14" s="55" t="str">
        <f>HASIL_T1!E14</f>
        <v>0</v>
      </c>
      <c r="F14" s="55" t="str">
        <f>HASIL_T1!F14</f>
        <v>0</v>
      </c>
      <c r="G14" s="55" t="str">
        <f>HASIL_T1!AC14</f>
        <v>0</v>
      </c>
      <c r="H14" s="55" t="str">
        <f>IF(F14&lt;&gt;"hadir","tengah",IF(A14&lt;=ROUNDUP(COUNTA(D5:D14)*0.27,0),"atas",IF(A14&gt;COUNTA(D5:D14)-ROUNDUP(COUNTA(D5:D14)*0.27,0),"bawah","tengah")))</f>
        <v>0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>&amp;L&amp;BOLAH T2&amp;R&amp;D &amp;T</oddHeader>
    <oddFooter>&amp;L&amp;"Calibri,Regular"&amp;8SIABSoal - SMPN 2 Tasikmalaya&amp;C&amp;P / &amp;N&amp;R&amp;"Calibri,Regular"&amp;8Dicetak: &amp;D</oddFooter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44336"/>
    <outlinePr summaryBelow="1" summaryRight="1"/>
    <pageSetUpPr fitToPage="1"/>
  </sheetPr>
  <dimension ref="A1:K34"/>
  <sheetViews>
    <sheetView tabSelected="0" workbookViewId="0" showGridLines="true" showRowColHeaders="1">
      <selection activeCell="D34" sqref="D34:K34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8" customWidth="true" style="0"/>
    <col min="4" max="4" width="30" customWidth="true" style="0"/>
    <col min="5" max="5" width="12" customWidth="true" style="0"/>
    <col min="6" max="6" width="8" customWidth="true" style="0"/>
    <col min="7" max="7" width="10" customWidth="true" style="0"/>
    <col min="8" max="8" width="20" customWidth="true" style="0"/>
    <col min="9" max="9" width="10" customWidth="true" style="0"/>
    <col min="10" max="10" width="15" customWidth="true" style="0"/>
    <col min="11" max="11" width="18" customWidth="true" style="0"/>
  </cols>
  <sheetData>
    <row r="1" spans="1:11" customHeight="1" ht="32">
      <c r="A1" s="15" t="s">
        <v>192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>
      <c r="A3" s="6" t="s">
        <v>116</v>
      </c>
      <c r="B3" t="s">
        <v>41</v>
      </c>
      <c r="G3" s="6" t="s">
        <v>117</v>
      </c>
      <c r="H3" t="s">
        <v>12</v>
      </c>
    </row>
    <row r="4" spans="1:11">
      <c r="A4" s="6" t="s">
        <v>129</v>
      </c>
      <c r="B4" t="s">
        <v>8</v>
      </c>
      <c r="G4" s="6" t="s">
        <v>130</v>
      </c>
      <c r="H4">
        <v>75.0</v>
      </c>
    </row>
    <row r="6" spans="1:11" customHeight="1" ht="28">
      <c r="A6" s="57" t="s">
        <v>193</v>
      </c>
      <c r="B6" s="57" t="s">
        <v>55</v>
      </c>
      <c r="C6" s="57" t="s">
        <v>194</v>
      </c>
      <c r="D6" s="57" t="s">
        <v>195</v>
      </c>
      <c r="E6" s="57" t="s">
        <v>196</v>
      </c>
      <c r="F6" s="57" t="s">
        <v>197</v>
      </c>
      <c r="G6" s="57" t="s">
        <v>198</v>
      </c>
      <c r="H6" s="57" t="s">
        <v>199</v>
      </c>
      <c r="I6" s="57" t="s">
        <v>200</v>
      </c>
      <c r="J6" s="57" t="s">
        <v>201</v>
      </c>
      <c r="K6" s="57" t="s">
        <v>202</v>
      </c>
    </row>
    <row r="7" spans="1:11" customHeight="1" ht="24">
      <c r="A7" s="55">
        <v>1</v>
      </c>
      <c r="B7" s="55" t="s">
        <v>58</v>
      </c>
      <c r="C7" s="55">
        <v>5</v>
      </c>
      <c r="D7" s="55">
        <v>4</v>
      </c>
      <c r="E7" s="55">
        <v>5</v>
      </c>
      <c r="F7" s="55">
        <v>5</v>
      </c>
      <c r="G7" s="65">
        <v>0.2</v>
      </c>
      <c r="H7" s="66" t="s">
        <v>203</v>
      </c>
      <c r="I7" s="65">
        <v>0.9</v>
      </c>
      <c r="J7" s="67" t="s">
        <v>204</v>
      </c>
      <c r="K7" s="66" t="s">
        <v>203</v>
      </c>
    </row>
    <row r="8" spans="1:11" customHeight="1" ht="24">
      <c r="A8" s="56">
        <v>2</v>
      </c>
      <c r="B8" s="56" t="s">
        <v>58</v>
      </c>
      <c r="C8" s="56">
        <v>5</v>
      </c>
      <c r="D8" s="56">
        <v>3</v>
      </c>
      <c r="E8" s="56">
        <v>5</v>
      </c>
      <c r="F8" s="56">
        <v>5</v>
      </c>
      <c r="G8" s="68">
        <v>0.4</v>
      </c>
      <c r="H8" s="67" t="s">
        <v>205</v>
      </c>
      <c r="I8" s="68">
        <v>0.8</v>
      </c>
      <c r="J8" s="67" t="s">
        <v>204</v>
      </c>
      <c r="K8" s="67" t="s">
        <v>206</v>
      </c>
    </row>
    <row r="9" spans="1:11" customHeight="1" ht="24">
      <c r="A9" s="55">
        <v>3</v>
      </c>
      <c r="B9" s="55" t="s">
        <v>58</v>
      </c>
      <c r="C9" s="55">
        <v>5</v>
      </c>
      <c r="D9" s="55">
        <v>3</v>
      </c>
      <c r="E9" s="55">
        <v>5</v>
      </c>
      <c r="F9" s="55">
        <v>5</v>
      </c>
      <c r="G9" s="65">
        <v>0.4</v>
      </c>
      <c r="H9" s="67" t="s">
        <v>205</v>
      </c>
      <c r="I9" s="65">
        <v>0.8</v>
      </c>
      <c r="J9" s="67" t="s">
        <v>204</v>
      </c>
      <c r="K9" s="67" t="s">
        <v>206</v>
      </c>
    </row>
    <row r="10" spans="1:11" customHeight="1" ht="24">
      <c r="A10" s="56">
        <v>4</v>
      </c>
      <c r="B10" s="56" t="s">
        <v>58</v>
      </c>
      <c r="C10" s="56">
        <v>5</v>
      </c>
      <c r="D10" s="56">
        <v>1</v>
      </c>
      <c r="E10" s="56">
        <v>5</v>
      </c>
      <c r="F10" s="56">
        <v>5</v>
      </c>
      <c r="G10" s="68">
        <v>0.8</v>
      </c>
      <c r="H10" s="67" t="s">
        <v>205</v>
      </c>
      <c r="I10" s="68">
        <v>0.6</v>
      </c>
      <c r="J10" s="69" t="s">
        <v>207</v>
      </c>
      <c r="K10" s="67" t="s">
        <v>208</v>
      </c>
    </row>
    <row r="11" spans="1:11" customHeight="1" ht="24">
      <c r="A11" s="55">
        <v>5</v>
      </c>
      <c r="B11" s="55" t="s">
        <v>58</v>
      </c>
      <c r="C11" s="55">
        <v>5</v>
      </c>
      <c r="D11" s="55">
        <v>4</v>
      </c>
      <c r="E11" s="55">
        <v>5</v>
      </c>
      <c r="F11" s="55">
        <v>5</v>
      </c>
      <c r="G11" s="65">
        <v>0.2</v>
      </c>
      <c r="H11" s="66" t="s">
        <v>203</v>
      </c>
      <c r="I11" s="65">
        <v>0.9</v>
      </c>
      <c r="J11" s="67" t="s">
        <v>204</v>
      </c>
      <c r="K11" s="66" t="s">
        <v>203</v>
      </c>
    </row>
    <row r="12" spans="1:11" customHeight="1" ht="24">
      <c r="A12" s="56">
        <v>6</v>
      </c>
      <c r="B12" s="56" t="s">
        <v>58</v>
      </c>
      <c r="C12" s="56">
        <v>5</v>
      </c>
      <c r="D12" s="56">
        <v>2</v>
      </c>
      <c r="E12" s="56">
        <v>5</v>
      </c>
      <c r="F12" s="56">
        <v>5</v>
      </c>
      <c r="G12" s="68">
        <v>0.6</v>
      </c>
      <c r="H12" s="67" t="s">
        <v>205</v>
      </c>
      <c r="I12" s="68">
        <v>0.7</v>
      </c>
      <c r="J12" s="69" t="s">
        <v>207</v>
      </c>
      <c r="K12" s="67" t="s">
        <v>208</v>
      </c>
    </row>
    <row r="13" spans="1:11" customHeight="1" ht="24">
      <c r="A13" s="55">
        <v>7</v>
      </c>
      <c r="B13" s="55" t="s">
        <v>58</v>
      </c>
      <c r="C13" s="55">
        <v>5</v>
      </c>
      <c r="D13" s="55">
        <v>0</v>
      </c>
      <c r="E13" s="55">
        <v>5</v>
      </c>
      <c r="F13" s="55">
        <v>5</v>
      </c>
      <c r="G13" s="65">
        <v>1.0</v>
      </c>
      <c r="H13" s="67" t="s">
        <v>205</v>
      </c>
      <c r="I13" s="65">
        <v>0.5</v>
      </c>
      <c r="J13" s="69" t="s">
        <v>207</v>
      </c>
      <c r="K13" s="67" t="s">
        <v>208</v>
      </c>
    </row>
    <row r="14" spans="1:11" customHeight="1" ht="24">
      <c r="A14" s="56">
        <v>8</v>
      </c>
      <c r="B14" s="56" t="s">
        <v>58</v>
      </c>
      <c r="C14" s="56">
        <v>5</v>
      </c>
      <c r="D14" s="56">
        <v>5</v>
      </c>
      <c r="E14" s="56">
        <v>5</v>
      </c>
      <c r="F14" s="56">
        <v>5</v>
      </c>
      <c r="G14" s="68">
        <v>0.0</v>
      </c>
      <c r="H14" s="66" t="s">
        <v>203</v>
      </c>
      <c r="I14" s="68">
        <v>1.0</v>
      </c>
      <c r="J14" s="67" t="s">
        <v>204</v>
      </c>
      <c r="K14" s="66" t="s">
        <v>203</v>
      </c>
    </row>
    <row r="15" spans="1:11" customHeight="1" ht="24">
      <c r="A15" s="55">
        <v>9</v>
      </c>
      <c r="B15" s="55" t="s">
        <v>58</v>
      </c>
      <c r="C15" s="55">
        <v>4</v>
      </c>
      <c r="D15" s="55">
        <v>2</v>
      </c>
      <c r="E15" s="55">
        <v>5</v>
      </c>
      <c r="F15" s="55">
        <v>5</v>
      </c>
      <c r="G15" s="65">
        <v>0.4</v>
      </c>
      <c r="H15" s="67" t="s">
        <v>205</v>
      </c>
      <c r="I15" s="65">
        <v>0.6</v>
      </c>
      <c r="J15" s="69" t="s">
        <v>207</v>
      </c>
      <c r="K15" s="67" t="s">
        <v>208</v>
      </c>
    </row>
    <row r="16" spans="1:11" customHeight="1" ht="24">
      <c r="A16" s="56">
        <v>10</v>
      </c>
      <c r="B16" s="56" t="s">
        <v>58</v>
      </c>
      <c r="C16" s="56">
        <v>4</v>
      </c>
      <c r="D16" s="56">
        <v>1</v>
      </c>
      <c r="E16" s="56">
        <v>5</v>
      </c>
      <c r="F16" s="56">
        <v>5</v>
      </c>
      <c r="G16" s="68">
        <v>0.6</v>
      </c>
      <c r="H16" s="67" t="s">
        <v>205</v>
      </c>
      <c r="I16" s="68">
        <v>0.5</v>
      </c>
      <c r="J16" s="69" t="s">
        <v>207</v>
      </c>
      <c r="K16" s="67" t="s">
        <v>208</v>
      </c>
    </row>
    <row r="17" spans="1:11" customHeight="1" ht="24">
      <c r="A17" s="55">
        <v>11</v>
      </c>
      <c r="B17" s="55" t="s">
        <v>58</v>
      </c>
      <c r="C17" s="55">
        <v>5</v>
      </c>
      <c r="D17" s="55">
        <v>5</v>
      </c>
      <c r="E17" s="55">
        <v>5</v>
      </c>
      <c r="F17" s="55">
        <v>5</v>
      </c>
      <c r="G17" s="65">
        <v>0.0</v>
      </c>
      <c r="H17" s="66" t="s">
        <v>203</v>
      </c>
      <c r="I17" s="65">
        <v>1.0</v>
      </c>
      <c r="J17" s="67" t="s">
        <v>204</v>
      </c>
      <c r="K17" s="66" t="s">
        <v>203</v>
      </c>
    </row>
    <row r="18" spans="1:11" customHeight="1" ht="24">
      <c r="A18" s="56">
        <v>12</v>
      </c>
      <c r="B18" s="56" t="s">
        <v>58</v>
      </c>
      <c r="C18" s="56">
        <v>5</v>
      </c>
      <c r="D18" s="56">
        <v>0</v>
      </c>
      <c r="E18" s="56">
        <v>5</v>
      </c>
      <c r="F18" s="56">
        <v>5</v>
      </c>
      <c r="G18" s="68">
        <v>1.0</v>
      </c>
      <c r="H18" s="67" t="s">
        <v>205</v>
      </c>
      <c r="I18" s="68">
        <v>0.5</v>
      </c>
      <c r="J18" s="69" t="s">
        <v>207</v>
      </c>
      <c r="K18" s="67" t="s">
        <v>208</v>
      </c>
    </row>
    <row r="19" spans="1:11" customHeight="1" ht="24">
      <c r="A19" s="55">
        <v>13</v>
      </c>
      <c r="B19" s="55" t="s">
        <v>58</v>
      </c>
      <c r="C19" s="55">
        <v>4</v>
      </c>
      <c r="D19" s="55">
        <v>2</v>
      </c>
      <c r="E19" s="55">
        <v>5</v>
      </c>
      <c r="F19" s="55">
        <v>5</v>
      </c>
      <c r="G19" s="65">
        <v>0.4</v>
      </c>
      <c r="H19" s="67" t="s">
        <v>205</v>
      </c>
      <c r="I19" s="65">
        <v>0.6</v>
      </c>
      <c r="J19" s="69" t="s">
        <v>207</v>
      </c>
      <c r="K19" s="67" t="s">
        <v>208</v>
      </c>
    </row>
    <row r="20" spans="1:11" customHeight="1" ht="24">
      <c r="A20" s="56">
        <v>14</v>
      </c>
      <c r="B20" s="56" t="s">
        <v>58</v>
      </c>
      <c r="C20" s="56">
        <v>5</v>
      </c>
      <c r="D20" s="56">
        <v>1</v>
      </c>
      <c r="E20" s="56">
        <v>5</v>
      </c>
      <c r="F20" s="56">
        <v>5</v>
      </c>
      <c r="G20" s="68">
        <v>0.8</v>
      </c>
      <c r="H20" s="67" t="s">
        <v>205</v>
      </c>
      <c r="I20" s="68">
        <v>0.6</v>
      </c>
      <c r="J20" s="69" t="s">
        <v>207</v>
      </c>
      <c r="K20" s="67" t="s">
        <v>208</v>
      </c>
    </row>
    <row r="21" spans="1:11" customHeight="1" ht="24">
      <c r="A21" s="55">
        <v>15</v>
      </c>
      <c r="B21" s="55" t="s">
        <v>58</v>
      </c>
      <c r="C21" s="55">
        <v>5</v>
      </c>
      <c r="D21" s="55">
        <v>4</v>
      </c>
      <c r="E21" s="55">
        <v>5</v>
      </c>
      <c r="F21" s="55">
        <v>5</v>
      </c>
      <c r="G21" s="65">
        <v>0.2</v>
      </c>
      <c r="H21" s="66" t="s">
        <v>203</v>
      </c>
      <c r="I21" s="65">
        <v>0.9</v>
      </c>
      <c r="J21" s="67" t="s">
        <v>204</v>
      </c>
      <c r="K21" s="66" t="s">
        <v>203</v>
      </c>
    </row>
    <row r="22" spans="1:11" customHeight="1" ht="24">
      <c r="A22" s="56">
        <v>16</v>
      </c>
      <c r="B22" s="56" t="s">
        <v>58</v>
      </c>
      <c r="C22" s="56">
        <v>5</v>
      </c>
      <c r="D22" s="56">
        <v>2</v>
      </c>
      <c r="E22" s="56">
        <v>5</v>
      </c>
      <c r="F22" s="56">
        <v>5</v>
      </c>
      <c r="G22" s="68">
        <v>0.6</v>
      </c>
      <c r="H22" s="67" t="s">
        <v>205</v>
      </c>
      <c r="I22" s="68">
        <v>0.7</v>
      </c>
      <c r="J22" s="69" t="s">
        <v>207</v>
      </c>
      <c r="K22" s="67" t="s">
        <v>208</v>
      </c>
    </row>
    <row r="23" spans="1:11" customHeight="1" ht="24">
      <c r="A23" s="55">
        <v>17</v>
      </c>
      <c r="B23" s="55" t="s">
        <v>58</v>
      </c>
      <c r="C23" s="55">
        <v>3</v>
      </c>
      <c r="D23" s="55">
        <v>0</v>
      </c>
      <c r="E23" s="55">
        <v>5</v>
      </c>
      <c r="F23" s="55">
        <v>5</v>
      </c>
      <c r="G23" s="65">
        <v>0.6</v>
      </c>
      <c r="H23" s="67" t="s">
        <v>205</v>
      </c>
      <c r="I23" s="65">
        <v>0.3</v>
      </c>
      <c r="J23" s="69" t="s">
        <v>207</v>
      </c>
      <c r="K23" s="67" t="s">
        <v>208</v>
      </c>
    </row>
    <row r="24" spans="1:11" customHeight="1" ht="24">
      <c r="A24" s="56">
        <v>18</v>
      </c>
      <c r="B24" s="56" t="s">
        <v>58</v>
      </c>
      <c r="C24" s="56">
        <v>4</v>
      </c>
      <c r="D24" s="56">
        <v>0</v>
      </c>
      <c r="E24" s="56">
        <v>5</v>
      </c>
      <c r="F24" s="56">
        <v>5</v>
      </c>
      <c r="G24" s="68">
        <v>0.8</v>
      </c>
      <c r="H24" s="67" t="s">
        <v>205</v>
      </c>
      <c r="I24" s="68">
        <v>0.4</v>
      </c>
      <c r="J24" s="69" t="s">
        <v>207</v>
      </c>
      <c r="K24" s="67" t="s">
        <v>208</v>
      </c>
    </row>
    <row r="25" spans="1:11" customHeight="1" ht="24">
      <c r="A25" s="55">
        <v>19</v>
      </c>
      <c r="B25" s="55" t="s">
        <v>58</v>
      </c>
      <c r="C25" s="55">
        <v>4</v>
      </c>
      <c r="D25" s="55">
        <v>4</v>
      </c>
      <c r="E25" s="55">
        <v>5</v>
      </c>
      <c r="F25" s="55">
        <v>5</v>
      </c>
      <c r="G25" s="65">
        <v>0.0</v>
      </c>
      <c r="H25" s="66" t="s">
        <v>203</v>
      </c>
      <c r="I25" s="65">
        <v>0.8</v>
      </c>
      <c r="J25" s="67" t="s">
        <v>204</v>
      </c>
      <c r="K25" s="66" t="s">
        <v>203</v>
      </c>
    </row>
    <row r="26" spans="1:11" customHeight="1" ht="24">
      <c r="A26" s="56">
        <v>20</v>
      </c>
      <c r="B26" s="56" t="s">
        <v>58</v>
      </c>
      <c r="C26" s="56">
        <v>4</v>
      </c>
      <c r="D26" s="56">
        <v>1</v>
      </c>
      <c r="E26" s="56">
        <v>5</v>
      </c>
      <c r="F26" s="56">
        <v>5</v>
      </c>
      <c r="G26" s="68">
        <v>0.6</v>
      </c>
      <c r="H26" s="67" t="s">
        <v>205</v>
      </c>
      <c r="I26" s="68">
        <v>0.5</v>
      </c>
      <c r="J26" s="69" t="s">
        <v>207</v>
      </c>
      <c r="K26" s="67" t="s">
        <v>208</v>
      </c>
    </row>
    <row r="29" spans="1:11" customHeight="1" ht="24">
      <c r="A29" s="70" t="s">
        <v>209</v>
      </c>
      <c r="B29" s="73"/>
      <c r="C29" s="75"/>
      <c r="D29" s="78" t="s">
        <v>210</v>
      </c>
      <c r="E29" s="64" t="str">
        <f>COUNTIF(K7:K26, "*terima*") + COUNTIF(K7:K26, "*Baik*") + COUNTIF(K7:K26, "*pakai*")</f>
        <v>0</v>
      </c>
      <c r="F29" s="9"/>
      <c r="G29" s="9"/>
      <c r="H29" s="9"/>
      <c r="I29" s="9"/>
      <c r="J29" s="9"/>
      <c r="K29" s="9"/>
    </row>
    <row r="30" spans="1:11" customHeight="1" ht="24">
      <c r="A30" s="71"/>
      <c r="B30"/>
      <c r="C30" s="76"/>
      <c r="D30" s="79" t="s">
        <v>211</v>
      </c>
      <c r="E30" s="64" t="str">
        <f>COUNTIF(K7:K26, "*revisi*") + COUNTIF(K7:K26, "*perbaiki*")</f>
        <v>0</v>
      </c>
      <c r="F30" s="9"/>
      <c r="G30" s="9"/>
      <c r="H30" s="9"/>
      <c r="I30" s="9"/>
      <c r="J30" s="9"/>
      <c r="K30" s="9"/>
    </row>
    <row r="31" spans="1:11" customHeight="1" ht="24">
      <c r="A31" s="71"/>
      <c r="B31"/>
      <c r="C31" s="76"/>
      <c r="D31" s="80" t="s">
        <v>212</v>
      </c>
      <c r="E31" s="64" t="str">
        <f>COUNTIF(K7:K26, "*buang*")</f>
        <v>0</v>
      </c>
      <c r="F31" s="9"/>
      <c r="G31" s="9"/>
      <c r="H31" s="9"/>
      <c r="I31" s="9"/>
      <c r="J31" s="9"/>
      <c r="K31" s="9"/>
    </row>
    <row r="32" spans="1:11" customHeight="1" ht="24">
      <c r="A32" s="71"/>
      <c r="B32"/>
      <c r="C32" s="76"/>
      <c r="D32" s="78" t="s">
        <v>213</v>
      </c>
      <c r="E32" s="64" t="str">
        <f>COUNTIF(J7:J26, "*Mudah*")</f>
        <v>0</v>
      </c>
      <c r="F32" s="9"/>
      <c r="G32" s="9"/>
      <c r="H32" s="9"/>
      <c r="I32" s="9"/>
      <c r="J32" s="9"/>
      <c r="K32" s="9"/>
    </row>
    <row r="33" spans="1:11" customHeight="1" ht="24">
      <c r="A33" s="71"/>
      <c r="B33"/>
      <c r="C33" s="76"/>
      <c r="D33" s="79" t="s">
        <v>214</v>
      </c>
      <c r="E33" s="64" t="str">
        <f>COUNTIF(J7:J26, "*Sedang*")</f>
        <v>0</v>
      </c>
      <c r="F33" s="9"/>
      <c r="G33" s="9"/>
      <c r="H33" s="9"/>
      <c r="I33" s="9"/>
      <c r="J33" s="9"/>
      <c r="K33" s="9"/>
    </row>
    <row r="34" spans="1:11" customHeight="1" ht="24">
      <c r="A34" s="72"/>
      <c r="B34" s="74"/>
      <c r="C34" s="77"/>
      <c r="D34" s="80" t="s">
        <v>215</v>
      </c>
      <c r="E34" s="64" t="str">
        <f>COUNTIF(J7:J26, "*Sukar*")</f>
        <v>0</v>
      </c>
      <c r="F34" s="9"/>
      <c r="G34" s="9"/>
      <c r="H34" s="9"/>
      <c r="I34" s="9"/>
      <c r="J34" s="9"/>
      <c r="K34" s="9"/>
    </row>
  </sheetData>
  <mergeCells>
    <mergeCell ref="A1:K1"/>
    <mergeCell ref="A29:C34"/>
    <mergeCell ref="E29:K29"/>
    <mergeCell ref="E30:K30"/>
    <mergeCell ref="E31:K31"/>
    <mergeCell ref="E32:K32"/>
    <mergeCell ref="E33:K33"/>
    <mergeCell ref="E34:K34"/>
  </mergeCells>
  <printOptions gridLines="false" gridLinesSet="true"/>
  <pageMargins left="0.4" right="0.4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&amp;L&amp;BANALISIS BUTIR SOAL T3&amp;R&amp;D &amp;T</oddHeader>
    <oddFooter>&amp;L&amp;"Calibri,Regular"&amp;8SIABSoal - SMPN 2 Tasikmalaya&amp;C&amp;P / &amp;N&amp;R&amp;"Calibri,Regular"&amp;8Dicetak: &amp;D</oddFooter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9688"/>
    <outlinePr summaryBelow="1" summaryRight="1"/>
  </sheetPr>
  <dimension ref="A1:J29"/>
  <sheetViews>
    <sheetView tabSelected="0" workbookViewId="0" showGridLines="true" showRowColHeaders="1">
      <selection activeCell="E29" sqref="E29:J29"/>
    </sheetView>
  </sheetViews>
  <sheetFormatPr defaultRowHeight="14.4" outlineLevelRow="0" outlineLevelCol="0"/>
  <cols>
    <col min="1" max="1" width="6" customWidth="true" style="0"/>
    <col min="2" max="2" width="15" customWidth="true" style="0"/>
    <col min="3" max="3" width="18" customWidth="true" style="0"/>
    <col min="4" max="4" width="30" customWidth="true" style="0"/>
    <col min="5" max="5" width="25" customWidth="true" style="0"/>
    <col min="6" max="6" width="18" customWidth="true" style="0"/>
    <col min="7" max="7" width="15" customWidth="true" style="0"/>
    <col min="8" max="8" width="15" customWidth="true" style="0"/>
    <col min="9" max="9" width="12" customWidth="true" style="0"/>
    <col min="10" max="10" width="22" customWidth="true" style="0"/>
  </cols>
  <sheetData>
    <row r="1" spans="1:10" customHeight="1" ht="32">
      <c r="A1" s="15" t="s">
        <v>216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customHeight="1" ht="20">
      <c r="A2" s="81" t="s">
        <v>217</v>
      </c>
    </row>
    <row r="4" spans="1:10">
      <c r="A4" s="6" t="s">
        <v>116</v>
      </c>
      <c r="B4" t="s">
        <v>41</v>
      </c>
      <c r="F4" s="6" t="s">
        <v>117</v>
      </c>
      <c r="G4" t="s">
        <v>12</v>
      </c>
    </row>
    <row r="5" spans="1:10">
      <c r="A5" s="6" t="s">
        <v>129</v>
      </c>
      <c r="B5" t="s">
        <v>8</v>
      </c>
      <c r="F5" s="6" t="s">
        <v>218</v>
      </c>
      <c r="G5" t="s">
        <v>43</v>
      </c>
    </row>
    <row r="6" spans="1:10">
      <c r="A6" s="6" t="s">
        <v>118</v>
      </c>
      <c r="B6" t="s">
        <v>10</v>
      </c>
      <c r="F6" s="6" t="s">
        <v>219</v>
      </c>
      <c r="G6" t="s">
        <v>14</v>
      </c>
    </row>
    <row r="7" spans="1:10">
      <c r="A7" s="6" t="s">
        <v>130</v>
      </c>
      <c r="B7">
        <v>75.0</v>
      </c>
      <c r="F7" s="6" t="s">
        <v>220</v>
      </c>
      <c r="G7" t="s">
        <v>221</v>
      </c>
    </row>
    <row r="9" spans="1:10" customHeight="1" ht="25">
      <c r="A9" s="57" t="s">
        <v>120</v>
      </c>
      <c r="B9" s="57" t="s">
        <v>121</v>
      </c>
      <c r="C9" s="57" t="s">
        <v>122</v>
      </c>
      <c r="D9" s="57" t="s">
        <v>123</v>
      </c>
      <c r="E9" s="57" t="s">
        <v>124</v>
      </c>
      <c r="F9" s="57" t="s">
        <v>125</v>
      </c>
      <c r="G9" s="57" t="s">
        <v>222</v>
      </c>
      <c r="H9" s="57" t="s">
        <v>223</v>
      </c>
      <c r="I9" s="57" t="s">
        <v>224</v>
      </c>
      <c r="J9" s="57" t="s">
        <v>53</v>
      </c>
    </row>
    <row r="10" spans="1:10" customHeight="1" ht="24">
      <c r="A10" s="55">
        <v>1</v>
      </c>
      <c r="B10" s="55" t="str">
        <f>INPUT_SKOR_01!B7</f>
        <v>0</v>
      </c>
      <c r="C10" s="55" t="str">
        <f>INPUT_SKOR_01!C7</f>
        <v>0</v>
      </c>
      <c r="D10" s="9" t="str">
        <f>INPUT_SKOR_01!D7</f>
        <v>0</v>
      </c>
      <c r="E10" s="55" t="str">
        <f>INPUT_SKOR_01!E7</f>
        <v>0</v>
      </c>
      <c r="F10" s="55" t="str">
        <f>INPUT_SKOR_01!F7</f>
        <v>0</v>
      </c>
      <c r="G10" s="55" t="str">
        <f>INPUT_SKOR_01!AA7</f>
        <v>0</v>
      </c>
      <c r="H10" s="55" t="str">
        <f>20-G10</f>
        <v>0</v>
      </c>
      <c r="I10" s="55" t="str">
        <f>INPUT_SKOR_01!AB7</f>
        <v>0</v>
      </c>
      <c r="J10" s="55" t="str">
        <f>INPUT_SKOR_01!AC7</f>
        <v>0</v>
      </c>
    </row>
    <row r="11" spans="1:10" customHeight="1" ht="24">
      <c r="A11" s="55">
        <v>2</v>
      </c>
      <c r="B11" s="55" t="str">
        <f>INPUT_SKOR_01!B8</f>
        <v>0</v>
      </c>
      <c r="C11" s="55" t="str">
        <f>INPUT_SKOR_01!C8</f>
        <v>0</v>
      </c>
      <c r="D11" s="9" t="str">
        <f>INPUT_SKOR_01!D8</f>
        <v>0</v>
      </c>
      <c r="E11" s="55" t="str">
        <f>INPUT_SKOR_01!E8</f>
        <v>0</v>
      </c>
      <c r="F11" s="55" t="str">
        <f>INPUT_SKOR_01!F8</f>
        <v>0</v>
      </c>
      <c r="G11" s="55" t="str">
        <f>INPUT_SKOR_01!AA8</f>
        <v>0</v>
      </c>
      <c r="H11" s="55" t="str">
        <f>20-G11</f>
        <v>0</v>
      </c>
      <c r="I11" s="55" t="str">
        <f>INPUT_SKOR_01!AB8</f>
        <v>0</v>
      </c>
      <c r="J11" s="55" t="str">
        <f>INPUT_SKOR_01!AC8</f>
        <v>0</v>
      </c>
    </row>
    <row r="12" spans="1:10" customHeight="1" ht="24">
      <c r="A12" s="55">
        <v>3</v>
      </c>
      <c r="B12" s="55" t="str">
        <f>INPUT_SKOR_01!B9</f>
        <v>0</v>
      </c>
      <c r="C12" s="55" t="str">
        <f>INPUT_SKOR_01!C9</f>
        <v>0</v>
      </c>
      <c r="D12" s="9" t="str">
        <f>INPUT_SKOR_01!D9</f>
        <v>0</v>
      </c>
      <c r="E12" s="55" t="str">
        <f>INPUT_SKOR_01!E9</f>
        <v>0</v>
      </c>
      <c r="F12" s="55" t="str">
        <f>INPUT_SKOR_01!F9</f>
        <v>0</v>
      </c>
      <c r="G12" s="55" t="str">
        <f>INPUT_SKOR_01!AA9</f>
        <v>0</v>
      </c>
      <c r="H12" s="55" t="str">
        <f>20-G12</f>
        <v>0</v>
      </c>
      <c r="I12" s="55" t="str">
        <f>INPUT_SKOR_01!AB9</f>
        <v>0</v>
      </c>
      <c r="J12" s="55" t="str">
        <f>INPUT_SKOR_01!AC9</f>
        <v>0</v>
      </c>
    </row>
    <row r="13" spans="1:10" customHeight="1" ht="24">
      <c r="A13" s="55">
        <v>4</v>
      </c>
      <c r="B13" s="55" t="str">
        <f>INPUT_SKOR_01!B10</f>
        <v>0</v>
      </c>
      <c r="C13" s="55" t="str">
        <f>INPUT_SKOR_01!C10</f>
        <v>0</v>
      </c>
      <c r="D13" s="9" t="str">
        <f>INPUT_SKOR_01!D10</f>
        <v>0</v>
      </c>
      <c r="E13" s="55" t="str">
        <f>INPUT_SKOR_01!E10</f>
        <v>0</v>
      </c>
      <c r="F13" s="55" t="str">
        <f>INPUT_SKOR_01!F10</f>
        <v>0</v>
      </c>
      <c r="G13" s="55" t="str">
        <f>INPUT_SKOR_01!AA10</f>
        <v>0</v>
      </c>
      <c r="H13" s="55" t="str">
        <f>20-G13</f>
        <v>0</v>
      </c>
      <c r="I13" s="55" t="str">
        <f>INPUT_SKOR_01!AB10</f>
        <v>0</v>
      </c>
      <c r="J13" s="55" t="str">
        <f>INPUT_SKOR_01!AC10</f>
        <v>0</v>
      </c>
    </row>
    <row r="14" spans="1:10" customHeight="1" ht="24">
      <c r="A14" s="55">
        <v>5</v>
      </c>
      <c r="B14" s="55" t="str">
        <f>INPUT_SKOR_01!B11</f>
        <v>0</v>
      </c>
      <c r="C14" s="55" t="str">
        <f>INPUT_SKOR_01!C11</f>
        <v>0</v>
      </c>
      <c r="D14" s="9" t="str">
        <f>INPUT_SKOR_01!D11</f>
        <v>0</v>
      </c>
      <c r="E14" s="55" t="str">
        <f>INPUT_SKOR_01!E11</f>
        <v>0</v>
      </c>
      <c r="F14" s="55" t="str">
        <f>INPUT_SKOR_01!F11</f>
        <v>0</v>
      </c>
      <c r="G14" s="55" t="str">
        <f>INPUT_SKOR_01!AA11</f>
        <v>0</v>
      </c>
      <c r="H14" s="55" t="str">
        <f>20-G14</f>
        <v>0</v>
      </c>
      <c r="I14" s="55" t="str">
        <f>INPUT_SKOR_01!AB11</f>
        <v>0</v>
      </c>
      <c r="J14" s="55" t="str">
        <f>INPUT_SKOR_01!AC11</f>
        <v>0</v>
      </c>
    </row>
    <row r="15" spans="1:10" customHeight="1" ht="24">
      <c r="A15" s="55">
        <v>6</v>
      </c>
      <c r="B15" s="55" t="str">
        <f>INPUT_SKOR_01!B12</f>
        <v>0</v>
      </c>
      <c r="C15" s="55" t="str">
        <f>INPUT_SKOR_01!C12</f>
        <v>0</v>
      </c>
      <c r="D15" s="9" t="str">
        <f>INPUT_SKOR_01!D12</f>
        <v>0</v>
      </c>
      <c r="E15" s="55" t="str">
        <f>INPUT_SKOR_01!E12</f>
        <v>0</v>
      </c>
      <c r="F15" s="55" t="str">
        <f>INPUT_SKOR_01!F12</f>
        <v>0</v>
      </c>
      <c r="G15" s="55" t="str">
        <f>INPUT_SKOR_01!AA12</f>
        <v>0</v>
      </c>
      <c r="H15" s="55" t="str">
        <f>20-G15</f>
        <v>0</v>
      </c>
      <c r="I15" s="55" t="str">
        <f>INPUT_SKOR_01!AB12</f>
        <v>0</v>
      </c>
      <c r="J15" s="55" t="str">
        <f>INPUT_SKOR_01!AC12</f>
        <v>0</v>
      </c>
    </row>
    <row r="16" spans="1:10" customHeight="1" ht="24">
      <c r="A16" s="55">
        <v>7</v>
      </c>
      <c r="B16" s="55" t="str">
        <f>INPUT_SKOR_01!B13</f>
        <v>0</v>
      </c>
      <c r="C16" s="55" t="str">
        <f>INPUT_SKOR_01!C13</f>
        <v>0</v>
      </c>
      <c r="D16" s="9" t="str">
        <f>INPUT_SKOR_01!D13</f>
        <v>0</v>
      </c>
      <c r="E16" s="55" t="str">
        <f>INPUT_SKOR_01!E13</f>
        <v>0</v>
      </c>
      <c r="F16" s="55" t="str">
        <f>INPUT_SKOR_01!F13</f>
        <v>0</v>
      </c>
      <c r="G16" s="55" t="str">
        <f>INPUT_SKOR_01!AA13</f>
        <v>0</v>
      </c>
      <c r="H16" s="55" t="str">
        <f>20-G16</f>
        <v>0</v>
      </c>
      <c r="I16" s="55" t="str">
        <f>INPUT_SKOR_01!AB13</f>
        <v>0</v>
      </c>
      <c r="J16" s="55" t="str">
        <f>INPUT_SKOR_01!AC13</f>
        <v>0</v>
      </c>
    </row>
    <row r="17" spans="1:10" customHeight="1" ht="24">
      <c r="A17" s="55">
        <v>8</v>
      </c>
      <c r="B17" s="55" t="str">
        <f>INPUT_SKOR_01!B14</f>
        <v>0</v>
      </c>
      <c r="C17" s="55" t="str">
        <f>INPUT_SKOR_01!C14</f>
        <v>0</v>
      </c>
      <c r="D17" s="9" t="str">
        <f>INPUT_SKOR_01!D14</f>
        <v>0</v>
      </c>
      <c r="E17" s="55" t="str">
        <f>INPUT_SKOR_01!E14</f>
        <v>0</v>
      </c>
      <c r="F17" s="55" t="str">
        <f>INPUT_SKOR_01!F14</f>
        <v>0</v>
      </c>
      <c r="G17" s="55" t="str">
        <f>INPUT_SKOR_01!AA14</f>
        <v>0</v>
      </c>
      <c r="H17" s="55" t="str">
        <f>20-G17</f>
        <v>0</v>
      </c>
      <c r="I17" s="55" t="str">
        <f>INPUT_SKOR_01!AB14</f>
        <v>0</v>
      </c>
      <c r="J17" s="55" t="str">
        <f>INPUT_SKOR_01!AC14</f>
        <v>0</v>
      </c>
    </row>
    <row r="18" spans="1:10" customHeight="1" ht="24">
      <c r="A18" s="55">
        <v>9</v>
      </c>
      <c r="B18" s="55" t="str">
        <f>INPUT_SKOR_01!B15</f>
        <v>0</v>
      </c>
      <c r="C18" s="55" t="str">
        <f>INPUT_SKOR_01!C15</f>
        <v>0</v>
      </c>
      <c r="D18" s="9" t="str">
        <f>INPUT_SKOR_01!D15</f>
        <v>0</v>
      </c>
      <c r="E18" s="55" t="str">
        <f>INPUT_SKOR_01!E15</f>
        <v>0</v>
      </c>
      <c r="F18" s="55" t="str">
        <f>INPUT_SKOR_01!F15</f>
        <v>0</v>
      </c>
      <c r="G18" s="55" t="str">
        <f>INPUT_SKOR_01!AA15</f>
        <v>0</v>
      </c>
      <c r="H18" s="55" t="str">
        <f>20-G18</f>
        <v>0</v>
      </c>
      <c r="I18" s="55" t="str">
        <f>INPUT_SKOR_01!AB15</f>
        <v>0</v>
      </c>
      <c r="J18" s="55" t="str">
        <f>INPUT_SKOR_01!AC15</f>
        <v>0</v>
      </c>
    </row>
    <row r="19" spans="1:10" customHeight="1" ht="24">
      <c r="A19" s="55">
        <v>10</v>
      </c>
      <c r="B19" s="55" t="str">
        <f>INPUT_SKOR_01!B16</f>
        <v>0</v>
      </c>
      <c r="C19" s="55" t="str">
        <f>INPUT_SKOR_01!C16</f>
        <v>0</v>
      </c>
      <c r="D19" s="9" t="str">
        <f>INPUT_SKOR_01!D16</f>
        <v>0</v>
      </c>
      <c r="E19" s="55" t="str">
        <f>INPUT_SKOR_01!E16</f>
        <v>0</v>
      </c>
      <c r="F19" s="55" t="str">
        <f>INPUT_SKOR_01!F16</f>
        <v>0</v>
      </c>
      <c r="G19" s="55" t="str">
        <f>INPUT_SKOR_01!AA16</f>
        <v>0</v>
      </c>
      <c r="H19" s="55" t="str">
        <f>20-G19</f>
        <v>0</v>
      </c>
      <c r="I19" s="55" t="str">
        <f>INPUT_SKOR_01!AB16</f>
        <v>0</v>
      </c>
      <c r="J19" s="55" t="str">
        <f>INPUT_SKOR_01!AC16</f>
        <v>0</v>
      </c>
    </row>
    <row r="22" spans="1:10" customHeight="1" ht="22">
      <c r="A22" s="82" t="s">
        <v>225</v>
      </c>
      <c r="B22" s="9"/>
      <c r="C22" s="9"/>
      <c r="D22" s="9"/>
      <c r="E22" s="83" t="s">
        <v>226</v>
      </c>
      <c r="F22" s="64" t="str">
        <f>COUNTA(D10:D19)</f>
        <v>0</v>
      </c>
      <c r="G22" s="9"/>
      <c r="H22" s="9"/>
      <c r="I22" s="9"/>
      <c r="J22" s="9"/>
    </row>
    <row r="23" spans="1:10" customHeight="1" ht="22">
      <c r="A23" s="9"/>
      <c r="B23" s="9"/>
      <c r="C23" s="9"/>
      <c r="D23" s="9"/>
      <c r="E23" s="83" t="s">
        <v>227</v>
      </c>
      <c r="F23" s="64" t="str">
        <f>COUNTIF(F10:F19, "hadir")</f>
        <v>0</v>
      </c>
      <c r="G23" s="9"/>
      <c r="H23" s="9"/>
      <c r="I23" s="9"/>
      <c r="J23" s="9"/>
    </row>
    <row r="24" spans="1:10" customHeight="1" ht="22">
      <c r="A24" s="9"/>
      <c r="B24" s="9"/>
      <c r="C24" s="9"/>
      <c r="D24" s="9"/>
      <c r="E24" s="83" t="s">
        <v>228</v>
      </c>
      <c r="F24" s="64" t="str">
        <f>COUNTIF(F10:F19, "tidak_hadir") + COUNTIF(F10:F19, "izin") + COUNTIF(F10:F19, "sakit") + COUNTIF(F10:F19, "alfa")</f>
        <v>0</v>
      </c>
      <c r="G24" s="9"/>
      <c r="H24" s="9"/>
      <c r="I24" s="9"/>
      <c r="J24" s="9"/>
    </row>
    <row r="25" spans="1:10" customHeight="1" ht="22">
      <c r="A25" s="9"/>
      <c r="B25" s="9"/>
      <c r="C25" s="9"/>
      <c r="D25" s="9"/>
      <c r="E25" s="83" t="s">
        <v>229</v>
      </c>
      <c r="F25" s="64" t="str">
        <f>MAX(I10:I19)</f>
        <v>0</v>
      </c>
      <c r="G25" s="9"/>
      <c r="H25" s="9"/>
      <c r="I25" s="9"/>
      <c r="J25" s="9"/>
    </row>
    <row r="26" spans="1:10" customHeight="1" ht="22">
      <c r="A26" s="9"/>
      <c r="B26" s="9"/>
      <c r="C26" s="9"/>
      <c r="D26" s="9"/>
      <c r="E26" s="83" t="s">
        <v>230</v>
      </c>
      <c r="F26" s="64" t="str">
        <f>MIN(I10:I19)</f>
        <v>0</v>
      </c>
      <c r="G26" s="9"/>
      <c r="H26" s="9"/>
      <c r="I26" s="9"/>
      <c r="J26" s="9"/>
    </row>
    <row r="27" spans="1:10" customHeight="1" ht="22">
      <c r="A27" s="9"/>
      <c r="B27" s="9"/>
      <c r="C27" s="9"/>
      <c r="D27" s="9"/>
      <c r="E27" s="83" t="s">
        <v>231</v>
      </c>
      <c r="F27" s="64" t="str">
        <f>AVERAGE(I10:I19)</f>
        <v>0</v>
      </c>
      <c r="G27" s="9"/>
      <c r="H27" s="9"/>
      <c r="I27" s="9"/>
      <c r="J27" s="9"/>
    </row>
    <row r="28" spans="1:10" customHeight="1" ht="22">
      <c r="A28" s="9"/>
      <c r="B28" s="9"/>
      <c r="C28" s="9"/>
      <c r="D28" s="9"/>
      <c r="E28" s="83" t="s">
        <v>232</v>
      </c>
      <c r="F28" s="64" t="str">
        <f>COUNTIF(J10:J19, "TERCAPAI")</f>
        <v>0</v>
      </c>
      <c r="G28" s="9"/>
      <c r="H28" s="9"/>
      <c r="I28" s="9"/>
      <c r="J28" s="9"/>
    </row>
    <row r="29" spans="1:10" customHeight="1" ht="22">
      <c r="A29" s="9"/>
      <c r="B29" s="9"/>
      <c r="C29" s="9"/>
      <c r="D29" s="9"/>
      <c r="E29" s="83" t="s">
        <v>233</v>
      </c>
      <c r="F29" s="64" t="str">
        <f>COUNTIF(J10:J19, "PERLU PENINGKATAN")</f>
        <v>0</v>
      </c>
      <c r="G29" s="9"/>
      <c r="H29" s="9"/>
      <c r="I29" s="9"/>
      <c r="J29" s="9"/>
    </row>
  </sheetData>
  <mergeCells>
    <mergeCell ref="A1:J1"/>
    <mergeCell ref="A2:J2"/>
    <mergeCell ref="A22:D29"/>
    <mergeCell ref="F22:J22"/>
    <mergeCell ref="F23:J23"/>
    <mergeCell ref="F24:J24"/>
    <mergeCell ref="F25:J25"/>
    <mergeCell ref="F26:J26"/>
    <mergeCell ref="F27:J27"/>
    <mergeCell ref="F28:J28"/>
    <mergeCell ref="F29:J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>&amp;L&amp;BDAFTAR NILAI T4&amp;R&amp;D &amp;T</oddHeader>
    <oddFooter>&amp;L&amp;"Calibri,Regular"&amp;8SIABSoal - SMPN 2 Tasikmalaya&amp;C&amp;P / &amp;N&amp;R&amp;"Calibri,Regular"&amp;8Dicetak: &amp;D</oddFooter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3F51B5"/>
    <outlinePr summaryBelow="1" summaryRight="1"/>
  </sheetPr>
  <dimension ref="A1:G25"/>
  <sheetViews>
    <sheetView tabSelected="0" workbookViewId="0" showGridLines="true" showRowColHeaders="1">
      <selection activeCell="A22" sqref="A22:G25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8" customWidth="true" style="0"/>
    <col min="4" max="4" width="4" customWidth="true" style="0"/>
    <col min="5" max="5" width="25" customWidth="true" style="0"/>
    <col min="6" max="6" width="20" customWidth="true" style="0"/>
    <col min="7" max="7" width="8" customWidth="true" style="0"/>
  </cols>
  <sheetData>
    <row r="1" spans="1:7" customHeight="1" ht="32">
      <c r="A1" s="15" t="s">
        <v>234</v>
      </c>
      <c r="B1" s="15"/>
      <c r="C1" s="15"/>
      <c r="D1" s="15"/>
      <c r="E1" s="15"/>
      <c r="F1" s="15"/>
      <c r="G1" s="15"/>
    </row>
    <row r="2" spans="1:7" customHeight="1" ht="20">
      <c r="A2" s="84" t="s">
        <v>235</v>
      </c>
    </row>
    <row r="4" spans="1:7" customHeight="1" ht="22">
      <c r="A4" s="57" t="s">
        <v>236</v>
      </c>
      <c r="B4" s="57"/>
      <c r="C4" s="57"/>
      <c r="E4" s="57" t="s">
        <v>241</v>
      </c>
      <c r="F4" s="57"/>
      <c r="G4" s="57"/>
    </row>
    <row r="5" spans="1:7" customHeight="1" ht="20">
      <c r="A5" s="83" t="s">
        <v>237</v>
      </c>
      <c r="B5" s="9" t="s">
        <v>8</v>
      </c>
      <c r="C5" s="9"/>
      <c r="E5" s="83" t="s">
        <v>229</v>
      </c>
      <c r="F5" s="64" t="str">
        <f>'DAFTAR_NILAI_T4'!F25</f>
        <v>0</v>
      </c>
      <c r="G5" s="9"/>
    </row>
    <row r="6" spans="1:7" customHeight="1" ht="20">
      <c r="A6" s="83" t="s">
        <v>44</v>
      </c>
      <c r="B6" s="9" t="s">
        <v>45</v>
      </c>
      <c r="C6" s="9"/>
      <c r="E6" s="83" t="s">
        <v>230</v>
      </c>
      <c r="F6" s="64" t="str">
        <f>'DAFTAR_NILAI_T4'!F26</f>
        <v>0</v>
      </c>
      <c r="G6" s="9"/>
    </row>
    <row r="7" spans="1:7" customHeight="1" ht="20">
      <c r="A7" s="83" t="s">
        <v>9</v>
      </c>
      <c r="B7" s="9" t="s">
        <v>10</v>
      </c>
      <c r="C7" s="9"/>
      <c r="E7" s="83" t="s">
        <v>231</v>
      </c>
      <c r="F7" s="64" t="str">
        <f>'DAFTAR_NILAI_T4'!F27</f>
        <v>0</v>
      </c>
      <c r="G7" s="9"/>
    </row>
    <row r="8" spans="1:7" customHeight="1" ht="20">
      <c r="A8" s="83" t="s">
        <v>40</v>
      </c>
      <c r="B8" s="9" t="s">
        <v>41</v>
      </c>
      <c r="C8" s="9"/>
      <c r="E8" s="83" t="s">
        <v>242</v>
      </c>
      <c r="F8" s="64" t="str">
        <f>'DAFTAR_NILAI_T4'!F28</f>
        <v>0</v>
      </c>
      <c r="G8" s="9"/>
    </row>
    <row r="9" spans="1:7" customHeight="1" ht="20">
      <c r="A9" s="83" t="s">
        <v>11</v>
      </c>
      <c r="B9" s="9" t="s">
        <v>12</v>
      </c>
      <c r="C9" s="9"/>
      <c r="E9" s="83" t="s">
        <v>243</v>
      </c>
      <c r="F9" s="64" t="str">
        <f>'DAFTAR_NILAI_T4'!F29</f>
        <v>0</v>
      </c>
      <c r="G9" s="9"/>
    </row>
    <row r="10" spans="1:7" customHeight="1" ht="20">
      <c r="A10" s="83" t="s">
        <v>15</v>
      </c>
      <c r="B10" s="9">
        <v>75.0</v>
      </c>
      <c r="C10" s="9"/>
    </row>
    <row r="12" spans="1:7" customHeight="1" ht="22">
      <c r="A12" s="57" t="s">
        <v>238</v>
      </c>
      <c r="B12" s="57"/>
      <c r="C12" s="57"/>
      <c r="E12" s="57" t="s">
        <v>244</v>
      </c>
      <c r="F12" s="57"/>
      <c r="G12" s="57"/>
    </row>
    <row r="13" spans="1:7" customHeight="1" ht="20">
      <c r="A13" s="83" t="s">
        <v>226</v>
      </c>
      <c r="B13" s="64" t="str">
        <f>'DAFTAR_NILAI_T4'!F22</f>
        <v>0</v>
      </c>
      <c r="C13" s="9"/>
      <c r="E13" s="83" t="s">
        <v>245</v>
      </c>
      <c r="F13" s="64" t="str">
        <f>ANALISIS_T3!E29</f>
        <v>0</v>
      </c>
      <c r="G13" s="9"/>
    </row>
    <row r="14" spans="1:7" customHeight="1" ht="20">
      <c r="A14" s="83" t="s">
        <v>239</v>
      </c>
      <c r="B14" s="64" t="str">
        <f>'DAFTAR_NILAI_T4'!F23</f>
        <v>0</v>
      </c>
      <c r="C14" s="9"/>
      <c r="E14" s="83" t="s">
        <v>246</v>
      </c>
      <c r="F14" s="64" t="str">
        <f>ANALISIS_T3!E30</f>
        <v>0</v>
      </c>
      <c r="G14" s="9"/>
    </row>
    <row r="15" spans="1:7" customHeight="1" ht="20">
      <c r="A15" s="83" t="s">
        <v>240</v>
      </c>
      <c r="B15" s="64" t="str">
        <f>'DAFTAR_NILAI_T4'!F24</f>
        <v>0</v>
      </c>
      <c r="C15" s="9"/>
      <c r="E15" s="83" t="s">
        <v>247</v>
      </c>
      <c r="F15" s="64" t="str">
        <f>ANALISIS_T3!E31</f>
        <v>0</v>
      </c>
      <c r="G15" s="9"/>
    </row>
    <row r="16" spans="1:7" customHeight="1" ht="20">
      <c r="E16" s="83" t="s">
        <v>248</v>
      </c>
      <c r="F16" s="64" t="str">
        <f>ANALISIS_T3!E32</f>
        <v>0</v>
      </c>
      <c r="G16" s="9"/>
    </row>
    <row r="17" spans="1:7" customHeight="1" ht="20">
      <c r="E17" s="83" t="s">
        <v>249</v>
      </c>
      <c r="F17" s="64" t="str">
        <f>ANALISIS_T3!E33</f>
        <v>0</v>
      </c>
      <c r="G17" s="9"/>
    </row>
    <row r="18" spans="1:7" customHeight="1" ht="20">
      <c r="E18" s="83" t="s">
        <v>250</v>
      </c>
      <c r="F18" s="64" t="str">
        <f>ANALISIS_T3!E34</f>
        <v>0</v>
      </c>
      <c r="G18" s="9"/>
    </row>
    <row r="21" spans="1:7" customHeight="1" ht="22">
      <c r="A21" s="57" t="s">
        <v>251</v>
      </c>
      <c r="B21" s="57"/>
      <c r="C21" s="57"/>
      <c r="D21" s="57"/>
      <c r="E21" s="57"/>
      <c r="F21" s="57"/>
      <c r="G21" s="57"/>
    </row>
    <row r="22" spans="1:7" customHeight="1" ht="18">
      <c r="A22" s="85" t="str">
        <f>"Berdasarkan hasil penilaian pada mata pelajaran " &amp; B8 &amp; " kelas " &amp; B9 &amp; ", dari total " &amp; TEXT(B12,"0") &amp; " siswa, sebanyak " &amp; TEXT(B13,"0") &amp; " siswa mengikuti ujian dan " &amp; TEXT(B14,"0") &amp; " siswa berhalangan hadir. Rata-rata nilai kelas diperoleh " &amp; TEXT(F7,"0.00") &amp; " dengan nilai tertinggi " &amp; TEXT(F5,"0") &amp; " dan terendah " &amp; TEXT(F6,"0") &amp; ". Sebanyak " &amp; TEXT(F8,"0") &amp; " siswa telah mencapai kriteria ketuntasan (KKTP), sedangkan " &amp; TEXT(F9,"0") &amp; " siswa memerlukan bimbingan remedial."</f>
        <v>0</v>
      </c>
      <c r="B22" s="9"/>
      <c r="C22" s="9"/>
      <c r="D22" s="9"/>
      <c r="E22" s="9"/>
      <c r="F22" s="9"/>
      <c r="G22" s="9"/>
    </row>
    <row r="23" spans="1:7" customHeight="1" ht="18">
      <c r="A23" s="9"/>
      <c r="B23" s="9"/>
      <c r="C23" s="9"/>
      <c r="D23" s="9"/>
      <c r="E23" s="9"/>
      <c r="F23" s="9"/>
      <c r="G23" s="9"/>
    </row>
    <row r="24" spans="1:7" customHeight="1" ht="18">
      <c r="A24" s="9"/>
      <c r="B24" s="9"/>
      <c r="C24" s="9"/>
      <c r="D24" s="9"/>
      <c r="E24" s="9"/>
      <c r="F24" s="9"/>
      <c r="G24" s="9"/>
    </row>
    <row r="25" spans="1:7" customHeight="1" ht="18">
      <c r="A25" s="9"/>
      <c r="B25" s="9"/>
      <c r="C25" s="9"/>
      <c r="D25" s="9"/>
      <c r="E25" s="9"/>
      <c r="F25" s="9"/>
      <c r="G25" s="9"/>
    </row>
  </sheetData>
  <mergeCells>
    <mergeCell ref="A1:G1"/>
    <mergeCell ref="A2:G2"/>
    <mergeCell ref="A4:C4"/>
    <mergeCell ref="B5:C5"/>
    <mergeCell ref="B6:C6"/>
    <mergeCell ref="B7:C7"/>
    <mergeCell ref="B8:C8"/>
    <mergeCell ref="B9:C9"/>
    <mergeCell ref="B10:C10"/>
    <mergeCell ref="A12:C12"/>
    <mergeCell ref="B13:C13"/>
    <mergeCell ref="B14:C14"/>
    <mergeCell ref="B15:C15"/>
    <mergeCell ref="E4:G4"/>
    <mergeCell ref="F5:G5"/>
    <mergeCell ref="F6:G6"/>
    <mergeCell ref="F7:G7"/>
    <mergeCell ref="F8:G8"/>
    <mergeCell ref="F9:G9"/>
    <mergeCell ref="E12:G12"/>
    <mergeCell ref="F13:G13"/>
    <mergeCell ref="F14:G14"/>
    <mergeCell ref="F15:G15"/>
    <mergeCell ref="F16:G16"/>
    <mergeCell ref="F17:G17"/>
    <mergeCell ref="F18:G18"/>
    <mergeCell ref="A21:G21"/>
    <mergeCell ref="A22:G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>&amp;L&amp;BREKAP NILAI T5&amp;R&amp;D &amp;T</oddHeader>
    <oddFooter>&amp;L&amp;"Calibri,Regular"&amp;8SIABSoal - SMPN 2 Tasikmalaya&amp;C&amp;P / &amp;N&amp;R&amp;"Calibri,Regular"&amp;8Dicetak: &amp;D</oddFooter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E9E9E"/>
    <outlinePr summaryBelow="1" summaryRight="1"/>
  </sheetPr>
  <dimension ref="A1:Y11"/>
  <sheetViews>
    <sheetView tabSelected="0" workbookViewId="0" showGridLines="true" showRowColHeaders="1">
      <selection activeCell="A11" sqref="A11:Y11"/>
    </sheetView>
  </sheetViews>
  <sheetFormatPr defaultRowHeight="14.4" outlineLevelRow="0" outlineLevelCol="0"/>
  <sheetData>
    <row r="1" spans="1:25" customHeight="1" ht="24">
      <c r="A1" s="15" t="s">
        <v>80</v>
      </c>
      <c r="B1" s="15" t="s">
        <v>81</v>
      </c>
      <c r="C1" s="15" t="s">
        <v>82</v>
      </c>
      <c r="D1" s="15" t="s">
        <v>83</v>
      </c>
      <c r="E1" s="15" t="s">
        <v>140</v>
      </c>
      <c r="F1" s="15" t="s">
        <v>164</v>
      </c>
      <c r="G1" s="15" t="s">
        <v>165</v>
      </c>
      <c r="H1" s="15" t="s">
        <v>166</v>
      </c>
      <c r="I1" s="15" t="s">
        <v>167</v>
      </c>
      <c r="J1" s="15" t="s">
        <v>168</v>
      </c>
      <c r="K1" s="15" t="s">
        <v>169</v>
      </c>
      <c r="L1" s="15" t="s">
        <v>170</v>
      </c>
      <c r="M1" s="15" t="s">
        <v>171</v>
      </c>
      <c r="N1" s="15" t="s">
        <v>172</v>
      </c>
      <c r="O1" s="15" t="s">
        <v>173</v>
      </c>
      <c r="P1" s="15" t="s">
        <v>174</v>
      </c>
      <c r="Q1" s="15" t="s">
        <v>175</v>
      </c>
      <c r="R1" s="15" t="s">
        <v>176</v>
      </c>
      <c r="S1" s="15" t="s">
        <v>177</v>
      </c>
      <c r="T1" s="15" t="s">
        <v>178</v>
      </c>
      <c r="U1" s="15" t="s">
        <v>179</v>
      </c>
      <c r="V1" s="15" t="s">
        <v>180</v>
      </c>
      <c r="W1" s="15" t="s">
        <v>181</v>
      </c>
      <c r="X1" s="15" t="s">
        <v>182</v>
      </c>
      <c r="Y1" s="15" t="s">
        <v>183</v>
      </c>
    </row>
    <row r="2" spans="1:25" customHeight="1" ht="20">
      <c r="A2" s="9" t="str">
        <f>INPUT_SKOR_01!B7</f>
        <v>0</v>
      </c>
      <c r="B2" s="9" t="str">
        <f>INPUT_SKOR_01!C7</f>
        <v>0</v>
      </c>
      <c r="C2" s="9" t="str">
        <f>INPUT_SKOR_01!D7</f>
        <v>0</v>
      </c>
      <c r="D2" s="9" t="str">
        <f>INPUT_SKOR_01!E7</f>
        <v>0</v>
      </c>
      <c r="E2" s="9" t="str">
        <f>INPUT_SKOR_01!F7</f>
        <v>0</v>
      </c>
      <c r="F2" s="9" t="str">
        <f>INPUT_SKOR_01!G7</f>
        <v>0</v>
      </c>
      <c r="G2" s="9" t="str">
        <f>INPUT_SKOR_01!H7</f>
        <v>0</v>
      </c>
      <c r="H2" s="9" t="str">
        <f>INPUT_SKOR_01!I7</f>
        <v>0</v>
      </c>
      <c r="I2" s="9" t="str">
        <f>INPUT_SKOR_01!J7</f>
        <v>0</v>
      </c>
      <c r="J2" s="9" t="str">
        <f>INPUT_SKOR_01!K7</f>
        <v>0</v>
      </c>
      <c r="K2" s="9" t="str">
        <f>INPUT_SKOR_01!L7</f>
        <v>0</v>
      </c>
      <c r="L2" s="9" t="str">
        <f>INPUT_SKOR_01!M7</f>
        <v>0</v>
      </c>
      <c r="M2" s="9" t="str">
        <f>INPUT_SKOR_01!N7</f>
        <v>0</v>
      </c>
      <c r="N2" s="9" t="str">
        <f>INPUT_SKOR_01!O7</f>
        <v>0</v>
      </c>
      <c r="O2" s="9" t="str">
        <f>INPUT_SKOR_01!P7</f>
        <v>0</v>
      </c>
      <c r="P2" s="9" t="str">
        <f>INPUT_SKOR_01!Q7</f>
        <v>0</v>
      </c>
      <c r="Q2" s="9" t="str">
        <f>INPUT_SKOR_01!R7</f>
        <v>0</v>
      </c>
      <c r="R2" s="9" t="str">
        <f>INPUT_SKOR_01!S7</f>
        <v>0</v>
      </c>
      <c r="S2" s="9" t="str">
        <f>INPUT_SKOR_01!T7</f>
        <v>0</v>
      </c>
      <c r="T2" s="9" t="str">
        <f>INPUT_SKOR_01!U7</f>
        <v>0</v>
      </c>
      <c r="U2" s="9" t="str">
        <f>INPUT_SKOR_01!V7</f>
        <v>0</v>
      </c>
      <c r="V2" s="9" t="str">
        <f>INPUT_SKOR_01!W7</f>
        <v>0</v>
      </c>
      <c r="W2" s="9" t="str">
        <f>INPUT_SKOR_01!X7</f>
        <v>0</v>
      </c>
      <c r="X2" s="9" t="str">
        <f>INPUT_SKOR_01!Y7</f>
        <v>0</v>
      </c>
      <c r="Y2" s="9" t="str">
        <f>INPUT_SKOR_01!Z7</f>
        <v>0</v>
      </c>
    </row>
    <row r="3" spans="1:25" customHeight="1" ht="20">
      <c r="A3" s="9" t="str">
        <f>INPUT_SKOR_01!B8</f>
        <v>0</v>
      </c>
      <c r="B3" s="9" t="str">
        <f>INPUT_SKOR_01!C8</f>
        <v>0</v>
      </c>
      <c r="C3" s="9" t="str">
        <f>INPUT_SKOR_01!D8</f>
        <v>0</v>
      </c>
      <c r="D3" s="9" t="str">
        <f>INPUT_SKOR_01!E8</f>
        <v>0</v>
      </c>
      <c r="E3" s="9" t="str">
        <f>INPUT_SKOR_01!F8</f>
        <v>0</v>
      </c>
      <c r="F3" s="9" t="str">
        <f>INPUT_SKOR_01!G8</f>
        <v>0</v>
      </c>
      <c r="G3" s="9" t="str">
        <f>INPUT_SKOR_01!H8</f>
        <v>0</v>
      </c>
      <c r="H3" s="9" t="str">
        <f>INPUT_SKOR_01!I8</f>
        <v>0</v>
      </c>
      <c r="I3" s="9" t="str">
        <f>INPUT_SKOR_01!J8</f>
        <v>0</v>
      </c>
      <c r="J3" s="9" t="str">
        <f>INPUT_SKOR_01!K8</f>
        <v>0</v>
      </c>
      <c r="K3" s="9" t="str">
        <f>INPUT_SKOR_01!L8</f>
        <v>0</v>
      </c>
      <c r="L3" s="9" t="str">
        <f>INPUT_SKOR_01!M8</f>
        <v>0</v>
      </c>
      <c r="M3" s="9" t="str">
        <f>INPUT_SKOR_01!N8</f>
        <v>0</v>
      </c>
      <c r="N3" s="9" t="str">
        <f>INPUT_SKOR_01!O8</f>
        <v>0</v>
      </c>
      <c r="O3" s="9" t="str">
        <f>INPUT_SKOR_01!P8</f>
        <v>0</v>
      </c>
      <c r="P3" s="9" t="str">
        <f>INPUT_SKOR_01!Q8</f>
        <v>0</v>
      </c>
      <c r="Q3" s="9" t="str">
        <f>INPUT_SKOR_01!R8</f>
        <v>0</v>
      </c>
      <c r="R3" s="9" t="str">
        <f>INPUT_SKOR_01!S8</f>
        <v>0</v>
      </c>
      <c r="S3" s="9" t="str">
        <f>INPUT_SKOR_01!T8</f>
        <v>0</v>
      </c>
      <c r="T3" s="9" t="str">
        <f>INPUT_SKOR_01!U8</f>
        <v>0</v>
      </c>
      <c r="U3" s="9" t="str">
        <f>INPUT_SKOR_01!V8</f>
        <v>0</v>
      </c>
      <c r="V3" s="9" t="str">
        <f>INPUT_SKOR_01!W8</f>
        <v>0</v>
      </c>
      <c r="W3" s="9" t="str">
        <f>INPUT_SKOR_01!X8</f>
        <v>0</v>
      </c>
      <c r="X3" s="9" t="str">
        <f>INPUT_SKOR_01!Y8</f>
        <v>0</v>
      </c>
      <c r="Y3" s="9" t="str">
        <f>INPUT_SKOR_01!Z8</f>
        <v>0</v>
      </c>
    </row>
    <row r="4" spans="1:25" customHeight="1" ht="20">
      <c r="A4" s="9" t="str">
        <f>INPUT_SKOR_01!B9</f>
        <v>0</v>
      </c>
      <c r="B4" s="9" t="str">
        <f>INPUT_SKOR_01!C9</f>
        <v>0</v>
      </c>
      <c r="C4" s="9" t="str">
        <f>INPUT_SKOR_01!D9</f>
        <v>0</v>
      </c>
      <c r="D4" s="9" t="str">
        <f>INPUT_SKOR_01!E9</f>
        <v>0</v>
      </c>
      <c r="E4" s="9" t="str">
        <f>INPUT_SKOR_01!F9</f>
        <v>0</v>
      </c>
      <c r="F4" s="9" t="str">
        <f>INPUT_SKOR_01!G9</f>
        <v>0</v>
      </c>
      <c r="G4" s="9" t="str">
        <f>INPUT_SKOR_01!H9</f>
        <v>0</v>
      </c>
      <c r="H4" s="9" t="str">
        <f>INPUT_SKOR_01!I9</f>
        <v>0</v>
      </c>
      <c r="I4" s="9" t="str">
        <f>INPUT_SKOR_01!J9</f>
        <v>0</v>
      </c>
      <c r="J4" s="9" t="str">
        <f>INPUT_SKOR_01!K9</f>
        <v>0</v>
      </c>
      <c r="K4" s="9" t="str">
        <f>INPUT_SKOR_01!L9</f>
        <v>0</v>
      </c>
      <c r="L4" s="9" t="str">
        <f>INPUT_SKOR_01!M9</f>
        <v>0</v>
      </c>
      <c r="M4" s="9" t="str">
        <f>INPUT_SKOR_01!N9</f>
        <v>0</v>
      </c>
      <c r="N4" s="9" t="str">
        <f>INPUT_SKOR_01!O9</f>
        <v>0</v>
      </c>
      <c r="O4" s="9" t="str">
        <f>INPUT_SKOR_01!P9</f>
        <v>0</v>
      </c>
      <c r="P4" s="9" t="str">
        <f>INPUT_SKOR_01!Q9</f>
        <v>0</v>
      </c>
      <c r="Q4" s="9" t="str">
        <f>INPUT_SKOR_01!R9</f>
        <v>0</v>
      </c>
      <c r="R4" s="9" t="str">
        <f>INPUT_SKOR_01!S9</f>
        <v>0</v>
      </c>
      <c r="S4" s="9" t="str">
        <f>INPUT_SKOR_01!T9</f>
        <v>0</v>
      </c>
      <c r="T4" s="9" t="str">
        <f>INPUT_SKOR_01!U9</f>
        <v>0</v>
      </c>
      <c r="U4" s="9" t="str">
        <f>INPUT_SKOR_01!V9</f>
        <v>0</v>
      </c>
      <c r="V4" s="9" t="str">
        <f>INPUT_SKOR_01!W9</f>
        <v>0</v>
      </c>
      <c r="W4" s="9" t="str">
        <f>INPUT_SKOR_01!X9</f>
        <v>0</v>
      </c>
      <c r="X4" s="9" t="str">
        <f>INPUT_SKOR_01!Y9</f>
        <v>0</v>
      </c>
      <c r="Y4" s="9" t="str">
        <f>INPUT_SKOR_01!Z9</f>
        <v>0</v>
      </c>
    </row>
    <row r="5" spans="1:25" customHeight="1" ht="20">
      <c r="A5" s="9" t="str">
        <f>INPUT_SKOR_01!B10</f>
        <v>0</v>
      </c>
      <c r="B5" s="9" t="str">
        <f>INPUT_SKOR_01!C10</f>
        <v>0</v>
      </c>
      <c r="C5" s="9" t="str">
        <f>INPUT_SKOR_01!D10</f>
        <v>0</v>
      </c>
      <c r="D5" s="9" t="str">
        <f>INPUT_SKOR_01!E10</f>
        <v>0</v>
      </c>
      <c r="E5" s="9" t="str">
        <f>INPUT_SKOR_01!F10</f>
        <v>0</v>
      </c>
      <c r="F5" s="9" t="str">
        <f>INPUT_SKOR_01!G10</f>
        <v>0</v>
      </c>
      <c r="G5" s="9" t="str">
        <f>INPUT_SKOR_01!H10</f>
        <v>0</v>
      </c>
      <c r="H5" s="9" t="str">
        <f>INPUT_SKOR_01!I10</f>
        <v>0</v>
      </c>
      <c r="I5" s="9" t="str">
        <f>INPUT_SKOR_01!J10</f>
        <v>0</v>
      </c>
      <c r="J5" s="9" t="str">
        <f>INPUT_SKOR_01!K10</f>
        <v>0</v>
      </c>
      <c r="K5" s="9" t="str">
        <f>INPUT_SKOR_01!L10</f>
        <v>0</v>
      </c>
      <c r="L5" s="9" t="str">
        <f>INPUT_SKOR_01!M10</f>
        <v>0</v>
      </c>
      <c r="M5" s="9" t="str">
        <f>INPUT_SKOR_01!N10</f>
        <v>0</v>
      </c>
      <c r="N5" s="9" t="str">
        <f>INPUT_SKOR_01!O10</f>
        <v>0</v>
      </c>
      <c r="O5" s="9" t="str">
        <f>INPUT_SKOR_01!P10</f>
        <v>0</v>
      </c>
      <c r="P5" s="9" t="str">
        <f>INPUT_SKOR_01!Q10</f>
        <v>0</v>
      </c>
      <c r="Q5" s="9" t="str">
        <f>INPUT_SKOR_01!R10</f>
        <v>0</v>
      </c>
      <c r="R5" s="9" t="str">
        <f>INPUT_SKOR_01!S10</f>
        <v>0</v>
      </c>
      <c r="S5" s="9" t="str">
        <f>INPUT_SKOR_01!T10</f>
        <v>0</v>
      </c>
      <c r="T5" s="9" t="str">
        <f>INPUT_SKOR_01!U10</f>
        <v>0</v>
      </c>
      <c r="U5" s="9" t="str">
        <f>INPUT_SKOR_01!V10</f>
        <v>0</v>
      </c>
      <c r="V5" s="9" t="str">
        <f>INPUT_SKOR_01!W10</f>
        <v>0</v>
      </c>
      <c r="W5" s="9" t="str">
        <f>INPUT_SKOR_01!X10</f>
        <v>0</v>
      </c>
      <c r="X5" s="9" t="str">
        <f>INPUT_SKOR_01!Y10</f>
        <v>0</v>
      </c>
      <c r="Y5" s="9" t="str">
        <f>INPUT_SKOR_01!Z10</f>
        <v>0</v>
      </c>
    </row>
    <row r="6" spans="1:25" customHeight="1" ht="20">
      <c r="A6" s="9" t="str">
        <f>INPUT_SKOR_01!B11</f>
        <v>0</v>
      </c>
      <c r="B6" s="9" t="str">
        <f>INPUT_SKOR_01!C11</f>
        <v>0</v>
      </c>
      <c r="C6" s="9" t="str">
        <f>INPUT_SKOR_01!D11</f>
        <v>0</v>
      </c>
      <c r="D6" s="9" t="str">
        <f>INPUT_SKOR_01!E11</f>
        <v>0</v>
      </c>
      <c r="E6" s="9" t="str">
        <f>INPUT_SKOR_01!F11</f>
        <v>0</v>
      </c>
      <c r="F6" s="9" t="str">
        <f>INPUT_SKOR_01!G11</f>
        <v>0</v>
      </c>
      <c r="G6" s="9" t="str">
        <f>INPUT_SKOR_01!H11</f>
        <v>0</v>
      </c>
      <c r="H6" s="9" t="str">
        <f>INPUT_SKOR_01!I11</f>
        <v>0</v>
      </c>
      <c r="I6" s="9" t="str">
        <f>INPUT_SKOR_01!J11</f>
        <v>0</v>
      </c>
      <c r="J6" s="9" t="str">
        <f>INPUT_SKOR_01!K11</f>
        <v>0</v>
      </c>
      <c r="K6" s="9" t="str">
        <f>INPUT_SKOR_01!L11</f>
        <v>0</v>
      </c>
      <c r="L6" s="9" t="str">
        <f>INPUT_SKOR_01!M11</f>
        <v>0</v>
      </c>
      <c r="M6" s="9" t="str">
        <f>INPUT_SKOR_01!N11</f>
        <v>0</v>
      </c>
      <c r="N6" s="9" t="str">
        <f>INPUT_SKOR_01!O11</f>
        <v>0</v>
      </c>
      <c r="O6" s="9" t="str">
        <f>INPUT_SKOR_01!P11</f>
        <v>0</v>
      </c>
      <c r="P6" s="9" t="str">
        <f>INPUT_SKOR_01!Q11</f>
        <v>0</v>
      </c>
      <c r="Q6" s="9" t="str">
        <f>INPUT_SKOR_01!R11</f>
        <v>0</v>
      </c>
      <c r="R6" s="9" t="str">
        <f>INPUT_SKOR_01!S11</f>
        <v>0</v>
      </c>
      <c r="S6" s="9" t="str">
        <f>INPUT_SKOR_01!T11</f>
        <v>0</v>
      </c>
      <c r="T6" s="9" t="str">
        <f>INPUT_SKOR_01!U11</f>
        <v>0</v>
      </c>
      <c r="U6" s="9" t="str">
        <f>INPUT_SKOR_01!V11</f>
        <v>0</v>
      </c>
      <c r="V6" s="9" t="str">
        <f>INPUT_SKOR_01!W11</f>
        <v>0</v>
      </c>
      <c r="W6" s="9" t="str">
        <f>INPUT_SKOR_01!X11</f>
        <v>0</v>
      </c>
      <c r="X6" s="9" t="str">
        <f>INPUT_SKOR_01!Y11</f>
        <v>0</v>
      </c>
      <c r="Y6" s="9" t="str">
        <f>INPUT_SKOR_01!Z11</f>
        <v>0</v>
      </c>
    </row>
    <row r="7" spans="1:25" customHeight="1" ht="20">
      <c r="A7" s="9" t="str">
        <f>INPUT_SKOR_01!B12</f>
        <v>0</v>
      </c>
      <c r="B7" s="9" t="str">
        <f>INPUT_SKOR_01!C12</f>
        <v>0</v>
      </c>
      <c r="C7" s="9" t="str">
        <f>INPUT_SKOR_01!D12</f>
        <v>0</v>
      </c>
      <c r="D7" s="9" t="str">
        <f>INPUT_SKOR_01!E12</f>
        <v>0</v>
      </c>
      <c r="E7" s="9" t="str">
        <f>INPUT_SKOR_01!F12</f>
        <v>0</v>
      </c>
      <c r="F7" s="9" t="str">
        <f>INPUT_SKOR_01!G12</f>
        <v>0</v>
      </c>
      <c r="G7" s="9" t="str">
        <f>INPUT_SKOR_01!H12</f>
        <v>0</v>
      </c>
      <c r="H7" s="9" t="str">
        <f>INPUT_SKOR_01!I12</f>
        <v>0</v>
      </c>
      <c r="I7" s="9" t="str">
        <f>INPUT_SKOR_01!J12</f>
        <v>0</v>
      </c>
      <c r="J7" s="9" t="str">
        <f>INPUT_SKOR_01!K12</f>
        <v>0</v>
      </c>
      <c r="K7" s="9" t="str">
        <f>INPUT_SKOR_01!L12</f>
        <v>0</v>
      </c>
      <c r="L7" s="9" t="str">
        <f>INPUT_SKOR_01!M12</f>
        <v>0</v>
      </c>
      <c r="M7" s="9" t="str">
        <f>INPUT_SKOR_01!N12</f>
        <v>0</v>
      </c>
      <c r="N7" s="9" t="str">
        <f>INPUT_SKOR_01!O12</f>
        <v>0</v>
      </c>
      <c r="O7" s="9" t="str">
        <f>INPUT_SKOR_01!P12</f>
        <v>0</v>
      </c>
      <c r="P7" s="9" t="str">
        <f>INPUT_SKOR_01!Q12</f>
        <v>0</v>
      </c>
      <c r="Q7" s="9" t="str">
        <f>INPUT_SKOR_01!R12</f>
        <v>0</v>
      </c>
      <c r="R7" s="9" t="str">
        <f>INPUT_SKOR_01!S12</f>
        <v>0</v>
      </c>
      <c r="S7" s="9" t="str">
        <f>INPUT_SKOR_01!T12</f>
        <v>0</v>
      </c>
      <c r="T7" s="9" t="str">
        <f>INPUT_SKOR_01!U12</f>
        <v>0</v>
      </c>
      <c r="U7" s="9" t="str">
        <f>INPUT_SKOR_01!V12</f>
        <v>0</v>
      </c>
      <c r="V7" s="9" t="str">
        <f>INPUT_SKOR_01!W12</f>
        <v>0</v>
      </c>
      <c r="W7" s="9" t="str">
        <f>INPUT_SKOR_01!X12</f>
        <v>0</v>
      </c>
      <c r="X7" s="9" t="str">
        <f>INPUT_SKOR_01!Y12</f>
        <v>0</v>
      </c>
      <c r="Y7" s="9" t="str">
        <f>INPUT_SKOR_01!Z12</f>
        <v>0</v>
      </c>
    </row>
    <row r="8" spans="1:25" customHeight="1" ht="20">
      <c r="A8" s="9" t="str">
        <f>INPUT_SKOR_01!B13</f>
        <v>0</v>
      </c>
      <c r="B8" s="9" t="str">
        <f>INPUT_SKOR_01!C13</f>
        <v>0</v>
      </c>
      <c r="C8" s="9" t="str">
        <f>INPUT_SKOR_01!D13</f>
        <v>0</v>
      </c>
      <c r="D8" s="9" t="str">
        <f>INPUT_SKOR_01!E13</f>
        <v>0</v>
      </c>
      <c r="E8" s="9" t="str">
        <f>INPUT_SKOR_01!F13</f>
        <v>0</v>
      </c>
      <c r="F8" s="9" t="str">
        <f>INPUT_SKOR_01!G13</f>
        <v>0</v>
      </c>
      <c r="G8" s="9" t="str">
        <f>INPUT_SKOR_01!H13</f>
        <v>0</v>
      </c>
      <c r="H8" s="9" t="str">
        <f>INPUT_SKOR_01!I13</f>
        <v>0</v>
      </c>
      <c r="I8" s="9" t="str">
        <f>INPUT_SKOR_01!J13</f>
        <v>0</v>
      </c>
      <c r="J8" s="9" t="str">
        <f>INPUT_SKOR_01!K13</f>
        <v>0</v>
      </c>
      <c r="K8" s="9" t="str">
        <f>INPUT_SKOR_01!L13</f>
        <v>0</v>
      </c>
      <c r="L8" s="9" t="str">
        <f>INPUT_SKOR_01!M13</f>
        <v>0</v>
      </c>
      <c r="M8" s="9" t="str">
        <f>INPUT_SKOR_01!N13</f>
        <v>0</v>
      </c>
      <c r="N8" s="9" t="str">
        <f>INPUT_SKOR_01!O13</f>
        <v>0</v>
      </c>
      <c r="O8" s="9" t="str">
        <f>INPUT_SKOR_01!P13</f>
        <v>0</v>
      </c>
      <c r="P8" s="9" t="str">
        <f>INPUT_SKOR_01!Q13</f>
        <v>0</v>
      </c>
      <c r="Q8" s="9" t="str">
        <f>INPUT_SKOR_01!R13</f>
        <v>0</v>
      </c>
      <c r="R8" s="9" t="str">
        <f>INPUT_SKOR_01!S13</f>
        <v>0</v>
      </c>
      <c r="S8" s="9" t="str">
        <f>INPUT_SKOR_01!T13</f>
        <v>0</v>
      </c>
      <c r="T8" s="9" t="str">
        <f>INPUT_SKOR_01!U13</f>
        <v>0</v>
      </c>
      <c r="U8" s="9" t="str">
        <f>INPUT_SKOR_01!V13</f>
        <v>0</v>
      </c>
      <c r="V8" s="9" t="str">
        <f>INPUT_SKOR_01!W13</f>
        <v>0</v>
      </c>
      <c r="W8" s="9" t="str">
        <f>INPUT_SKOR_01!X13</f>
        <v>0</v>
      </c>
      <c r="X8" s="9" t="str">
        <f>INPUT_SKOR_01!Y13</f>
        <v>0</v>
      </c>
      <c r="Y8" s="9" t="str">
        <f>INPUT_SKOR_01!Z13</f>
        <v>0</v>
      </c>
    </row>
    <row r="9" spans="1:25" customHeight="1" ht="20">
      <c r="A9" s="9" t="str">
        <f>INPUT_SKOR_01!B14</f>
        <v>0</v>
      </c>
      <c r="B9" s="9" t="str">
        <f>INPUT_SKOR_01!C14</f>
        <v>0</v>
      </c>
      <c r="C9" s="9" t="str">
        <f>INPUT_SKOR_01!D14</f>
        <v>0</v>
      </c>
      <c r="D9" s="9" t="str">
        <f>INPUT_SKOR_01!E14</f>
        <v>0</v>
      </c>
      <c r="E9" s="9" t="str">
        <f>INPUT_SKOR_01!F14</f>
        <v>0</v>
      </c>
      <c r="F9" s="9" t="str">
        <f>INPUT_SKOR_01!G14</f>
        <v>0</v>
      </c>
      <c r="G9" s="9" t="str">
        <f>INPUT_SKOR_01!H14</f>
        <v>0</v>
      </c>
      <c r="H9" s="9" t="str">
        <f>INPUT_SKOR_01!I14</f>
        <v>0</v>
      </c>
      <c r="I9" s="9" t="str">
        <f>INPUT_SKOR_01!J14</f>
        <v>0</v>
      </c>
      <c r="J9" s="9" t="str">
        <f>INPUT_SKOR_01!K14</f>
        <v>0</v>
      </c>
      <c r="K9" s="9" t="str">
        <f>INPUT_SKOR_01!L14</f>
        <v>0</v>
      </c>
      <c r="L9" s="9" t="str">
        <f>INPUT_SKOR_01!M14</f>
        <v>0</v>
      </c>
      <c r="M9" s="9" t="str">
        <f>INPUT_SKOR_01!N14</f>
        <v>0</v>
      </c>
      <c r="N9" s="9" t="str">
        <f>INPUT_SKOR_01!O14</f>
        <v>0</v>
      </c>
      <c r="O9" s="9" t="str">
        <f>INPUT_SKOR_01!P14</f>
        <v>0</v>
      </c>
      <c r="P9" s="9" t="str">
        <f>INPUT_SKOR_01!Q14</f>
        <v>0</v>
      </c>
      <c r="Q9" s="9" t="str">
        <f>INPUT_SKOR_01!R14</f>
        <v>0</v>
      </c>
      <c r="R9" s="9" t="str">
        <f>INPUT_SKOR_01!S14</f>
        <v>0</v>
      </c>
      <c r="S9" s="9" t="str">
        <f>INPUT_SKOR_01!T14</f>
        <v>0</v>
      </c>
      <c r="T9" s="9" t="str">
        <f>INPUT_SKOR_01!U14</f>
        <v>0</v>
      </c>
      <c r="U9" s="9" t="str">
        <f>INPUT_SKOR_01!V14</f>
        <v>0</v>
      </c>
      <c r="V9" s="9" t="str">
        <f>INPUT_SKOR_01!W14</f>
        <v>0</v>
      </c>
      <c r="W9" s="9" t="str">
        <f>INPUT_SKOR_01!X14</f>
        <v>0</v>
      </c>
      <c r="X9" s="9" t="str">
        <f>INPUT_SKOR_01!Y14</f>
        <v>0</v>
      </c>
      <c r="Y9" s="9" t="str">
        <f>INPUT_SKOR_01!Z14</f>
        <v>0</v>
      </c>
    </row>
    <row r="10" spans="1:25" customHeight="1" ht="20">
      <c r="A10" s="9" t="str">
        <f>INPUT_SKOR_01!B15</f>
        <v>0</v>
      </c>
      <c r="B10" s="9" t="str">
        <f>INPUT_SKOR_01!C15</f>
        <v>0</v>
      </c>
      <c r="C10" s="9" t="str">
        <f>INPUT_SKOR_01!D15</f>
        <v>0</v>
      </c>
      <c r="D10" s="9" t="str">
        <f>INPUT_SKOR_01!E15</f>
        <v>0</v>
      </c>
      <c r="E10" s="9" t="str">
        <f>INPUT_SKOR_01!F15</f>
        <v>0</v>
      </c>
      <c r="F10" s="9" t="str">
        <f>INPUT_SKOR_01!G15</f>
        <v>0</v>
      </c>
      <c r="G10" s="9" t="str">
        <f>INPUT_SKOR_01!H15</f>
        <v>0</v>
      </c>
      <c r="H10" s="9" t="str">
        <f>INPUT_SKOR_01!I15</f>
        <v>0</v>
      </c>
      <c r="I10" s="9" t="str">
        <f>INPUT_SKOR_01!J15</f>
        <v>0</v>
      </c>
      <c r="J10" s="9" t="str">
        <f>INPUT_SKOR_01!K15</f>
        <v>0</v>
      </c>
      <c r="K10" s="9" t="str">
        <f>INPUT_SKOR_01!L15</f>
        <v>0</v>
      </c>
      <c r="L10" s="9" t="str">
        <f>INPUT_SKOR_01!M15</f>
        <v>0</v>
      </c>
      <c r="M10" s="9" t="str">
        <f>INPUT_SKOR_01!N15</f>
        <v>0</v>
      </c>
      <c r="N10" s="9" t="str">
        <f>INPUT_SKOR_01!O15</f>
        <v>0</v>
      </c>
      <c r="O10" s="9" t="str">
        <f>INPUT_SKOR_01!P15</f>
        <v>0</v>
      </c>
      <c r="P10" s="9" t="str">
        <f>INPUT_SKOR_01!Q15</f>
        <v>0</v>
      </c>
      <c r="Q10" s="9" t="str">
        <f>INPUT_SKOR_01!R15</f>
        <v>0</v>
      </c>
      <c r="R10" s="9" t="str">
        <f>INPUT_SKOR_01!S15</f>
        <v>0</v>
      </c>
      <c r="S10" s="9" t="str">
        <f>INPUT_SKOR_01!T15</f>
        <v>0</v>
      </c>
      <c r="T10" s="9" t="str">
        <f>INPUT_SKOR_01!U15</f>
        <v>0</v>
      </c>
      <c r="U10" s="9" t="str">
        <f>INPUT_SKOR_01!V15</f>
        <v>0</v>
      </c>
      <c r="V10" s="9" t="str">
        <f>INPUT_SKOR_01!W15</f>
        <v>0</v>
      </c>
      <c r="W10" s="9" t="str">
        <f>INPUT_SKOR_01!X15</f>
        <v>0</v>
      </c>
      <c r="X10" s="9" t="str">
        <f>INPUT_SKOR_01!Y15</f>
        <v>0</v>
      </c>
      <c r="Y10" s="9" t="str">
        <f>INPUT_SKOR_01!Z15</f>
        <v>0</v>
      </c>
    </row>
    <row r="11" spans="1:25" customHeight="1" ht="20">
      <c r="A11" s="9" t="str">
        <f>INPUT_SKOR_01!B16</f>
        <v>0</v>
      </c>
      <c r="B11" s="9" t="str">
        <f>INPUT_SKOR_01!C16</f>
        <v>0</v>
      </c>
      <c r="C11" s="9" t="str">
        <f>INPUT_SKOR_01!D16</f>
        <v>0</v>
      </c>
      <c r="D11" s="9" t="str">
        <f>INPUT_SKOR_01!E16</f>
        <v>0</v>
      </c>
      <c r="E11" s="9" t="str">
        <f>INPUT_SKOR_01!F16</f>
        <v>0</v>
      </c>
      <c r="F11" s="9" t="str">
        <f>INPUT_SKOR_01!G16</f>
        <v>0</v>
      </c>
      <c r="G11" s="9" t="str">
        <f>INPUT_SKOR_01!H16</f>
        <v>0</v>
      </c>
      <c r="H11" s="9" t="str">
        <f>INPUT_SKOR_01!I16</f>
        <v>0</v>
      </c>
      <c r="I11" s="9" t="str">
        <f>INPUT_SKOR_01!J16</f>
        <v>0</v>
      </c>
      <c r="J11" s="9" t="str">
        <f>INPUT_SKOR_01!K16</f>
        <v>0</v>
      </c>
      <c r="K11" s="9" t="str">
        <f>INPUT_SKOR_01!L16</f>
        <v>0</v>
      </c>
      <c r="L11" s="9" t="str">
        <f>INPUT_SKOR_01!M16</f>
        <v>0</v>
      </c>
      <c r="M11" s="9" t="str">
        <f>INPUT_SKOR_01!N16</f>
        <v>0</v>
      </c>
      <c r="N11" s="9" t="str">
        <f>INPUT_SKOR_01!O16</f>
        <v>0</v>
      </c>
      <c r="O11" s="9" t="str">
        <f>INPUT_SKOR_01!P16</f>
        <v>0</v>
      </c>
      <c r="P11" s="9" t="str">
        <f>INPUT_SKOR_01!Q16</f>
        <v>0</v>
      </c>
      <c r="Q11" s="9" t="str">
        <f>INPUT_SKOR_01!R16</f>
        <v>0</v>
      </c>
      <c r="R11" s="9" t="str">
        <f>INPUT_SKOR_01!S16</f>
        <v>0</v>
      </c>
      <c r="S11" s="9" t="str">
        <f>INPUT_SKOR_01!T16</f>
        <v>0</v>
      </c>
      <c r="T11" s="9" t="str">
        <f>INPUT_SKOR_01!U16</f>
        <v>0</v>
      </c>
      <c r="U11" s="9" t="str">
        <f>INPUT_SKOR_01!V16</f>
        <v>0</v>
      </c>
      <c r="V11" s="9" t="str">
        <f>INPUT_SKOR_01!W16</f>
        <v>0</v>
      </c>
      <c r="W11" s="9" t="str">
        <f>INPUT_SKOR_01!X16</f>
        <v>0</v>
      </c>
      <c r="X11" s="9" t="str">
        <f>INPUT_SKOR_01!Y16</f>
        <v>0</v>
      </c>
      <c r="Y11" s="9" t="str">
        <f>INPUT_SKOR_01!Z16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BDBDBD"/>
    <outlinePr summaryBelow="1" summaryRight="1"/>
  </sheetPr>
  <dimension ref="A1:H12"/>
  <sheetViews>
    <sheetView tabSelected="0" workbookViewId="0" showGridLines="false" showRowColHeaders="1">
      <pane ySplit="3" topLeftCell="A4" activePane="bottomLeft" state="frozen"/>
      <selection pane="bottomLeft" activeCell="A3" sqref="A3:H12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</cols>
  <sheetData>
    <row r="1" spans="1:8" customHeight="1" ht="32">
      <c r="A1" s="15" t="s">
        <v>252</v>
      </c>
      <c r="B1" s="15"/>
      <c r="C1" s="15"/>
      <c r="D1" s="15"/>
      <c r="E1" s="15"/>
      <c r="F1" s="15"/>
      <c r="G1" s="15"/>
      <c r="H1" s="15"/>
    </row>
    <row r="3" spans="1:8">
      <c r="A3" s="86" t="s">
        <v>253</v>
      </c>
      <c r="B3" s="86" t="s">
        <v>257</v>
      </c>
      <c r="C3" s="86" t="s">
        <v>140</v>
      </c>
      <c r="D3" s="86" t="s">
        <v>269</v>
      </c>
      <c r="E3" s="86" t="s">
        <v>271</v>
      </c>
      <c r="F3" s="86" t="s">
        <v>83</v>
      </c>
      <c r="G3" s="86" t="s">
        <v>272</v>
      </c>
      <c r="H3" s="86" t="s">
        <v>274</v>
      </c>
    </row>
    <row r="4" spans="1:8">
      <c r="A4" s="55" t="s">
        <v>254</v>
      </c>
      <c r="B4" s="55" t="s">
        <v>45</v>
      </c>
      <c r="C4" s="55" t="s">
        <v>127</v>
      </c>
      <c r="D4" s="55" t="s">
        <v>134</v>
      </c>
      <c r="E4" s="55">
        <v>0</v>
      </c>
      <c r="F4" s="55" t="s">
        <v>92</v>
      </c>
      <c r="G4" s="55" t="s">
        <v>205</v>
      </c>
      <c r="H4" s="55" t="s">
        <v>204</v>
      </c>
    </row>
    <row r="5" spans="1:8">
      <c r="A5" s="55" t="s">
        <v>255</v>
      </c>
      <c r="B5" s="55" t="s">
        <v>258</v>
      </c>
      <c r="C5" s="55" t="s">
        <v>265</v>
      </c>
      <c r="D5" s="55" t="s">
        <v>136</v>
      </c>
      <c r="E5" s="55">
        <v>1</v>
      </c>
      <c r="F5" s="55" t="s">
        <v>88</v>
      </c>
      <c r="G5" s="55" t="s">
        <v>273</v>
      </c>
      <c r="H5" s="55" t="s">
        <v>207</v>
      </c>
    </row>
    <row r="6" spans="1:8">
      <c r="A6" s="55" t="s">
        <v>256</v>
      </c>
      <c r="B6" s="55" t="s">
        <v>259</v>
      </c>
      <c r="C6" s="55" t="s">
        <v>266</v>
      </c>
      <c r="D6" s="55" t="s">
        <v>135</v>
      </c>
      <c r="E6" s="54"/>
      <c r="F6" s="54"/>
      <c r="G6" s="55" t="s">
        <v>203</v>
      </c>
      <c r="H6" s="55" t="s">
        <v>275</v>
      </c>
    </row>
    <row r="7" spans="1:8">
      <c r="A7" s="54"/>
      <c r="B7" s="55" t="s">
        <v>260</v>
      </c>
      <c r="C7" s="55" t="s">
        <v>267</v>
      </c>
      <c r="D7" s="55" t="s">
        <v>137</v>
      </c>
      <c r="E7" s="54"/>
      <c r="F7" s="54"/>
      <c r="G7" s="54"/>
      <c r="H7" s="54"/>
    </row>
    <row r="8" spans="1:8">
      <c r="A8" s="54"/>
      <c r="B8" s="55" t="s">
        <v>261</v>
      </c>
      <c r="C8" s="55" t="s">
        <v>268</v>
      </c>
      <c r="D8" s="55" t="s">
        <v>270</v>
      </c>
      <c r="E8" s="54"/>
      <c r="F8" s="54"/>
      <c r="G8" s="54"/>
      <c r="H8" s="54"/>
    </row>
    <row r="9" spans="1:8">
      <c r="A9" s="54"/>
      <c r="B9" s="55" t="s">
        <v>262</v>
      </c>
      <c r="C9" s="54"/>
      <c r="D9" s="54"/>
      <c r="E9" s="54"/>
      <c r="F9" s="54"/>
      <c r="G9" s="54"/>
      <c r="H9" s="54"/>
    </row>
    <row r="10" spans="1:8">
      <c r="A10" s="54"/>
      <c r="B10" s="55" t="s">
        <v>263</v>
      </c>
      <c r="C10" s="54"/>
      <c r="D10" s="54"/>
      <c r="E10" s="54"/>
      <c r="F10" s="54"/>
      <c r="G10" s="54"/>
      <c r="H10" s="54"/>
    </row>
    <row r="11" spans="1:8">
      <c r="A11" s="54"/>
      <c r="B11" s="55" t="s">
        <v>264</v>
      </c>
      <c r="C11" s="54"/>
      <c r="D11" s="54"/>
      <c r="E11" s="54"/>
      <c r="F11" s="54"/>
      <c r="G11" s="54"/>
      <c r="H11" s="54"/>
    </row>
    <row r="12" spans="1:8">
      <c r="A12" s="54"/>
      <c r="B12" s="54"/>
      <c r="C12" s="54"/>
      <c r="D12" s="54"/>
      <c r="E12" s="54"/>
      <c r="F12" s="54"/>
      <c r="G12" s="54"/>
      <c r="H12" s="54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BERANDA</vt:lpstr>
      <vt:lpstr>IDENTITAS</vt:lpstr>
      <vt:lpstr>DATA_KELAS</vt:lpstr>
      <vt:lpstr>DATA_SISWA</vt:lpstr>
      <vt:lpstr>TP_LM_KKTP</vt:lpstr>
      <vt:lpstr>DAFTAR_HADIR</vt:lpstr>
      <vt:lpstr>KUNCI_JAWABAN</vt:lpstr>
      <vt:lpstr>INPUT_JAWABAN_ABCD</vt:lpstr>
      <vt:lpstr>INPUT_SKOR_01</vt:lpstr>
      <vt:lpstr>HASIL_T1</vt:lpstr>
      <vt:lpstr>OLAH_T2</vt:lpstr>
      <vt:lpstr>ANALISIS_T3</vt:lpstr>
      <vt:lpstr>DAFTAR_NILAI_T4</vt:lpstr>
      <vt:lpstr>REKAP_NILAI_T5</vt:lpstr>
      <vt:lpstr>DATA_IMPORT_SYSTEM</vt:lpstr>
      <vt:lpstr>REFERENSI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2026-06-26T07:30:10+00:00</dcterms:created>
  <dcterms:modified xsi:type="dcterms:W3CDTF">2026-06-26T07:30:10+00:00</dcterms:modified>
  <dc:title>Untitled Spreadsheet</dc:title>
  <dc:description/>
  <dc:subject/>
  <cp:keywords/>
  <cp:category/>
</cp:coreProperties>
</file>